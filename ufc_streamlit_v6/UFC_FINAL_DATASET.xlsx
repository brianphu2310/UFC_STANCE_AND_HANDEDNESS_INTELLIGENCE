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carrot/Downloads/"/>
    </mc:Choice>
  </mc:AlternateContent>
  <xr:revisionPtr revIDLastSave="0" documentId="8_{502A3687-9802-8847-9777-DC7E478C1516}" xr6:coauthVersionLast="47" xr6:coauthVersionMax="47" xr10:uidLastSave="{00000000-0000-0000-0000-000000000000}"/>
  <bookViews>
    <workbookView xWindow="0" yWindow="660" windowWidth="30240" windowHeight="18980" tabRatio="500" activeTab="3" xr2:uid="{00000000-000D-0000-FFFF-FFFF00000000}"/>
  </bookViews>
  <sheets>
    <sheet name="🥊 Fighters Database" sheetId="1" r:id="rId1"/>
    <sheet name="📊 Pivot — Stance Analysis" sheetId="2" r:id="rId2"/>
    <sheet name="🌍 Country Analysis" sheetId="3" r:id="rId3"/>
    <sheet name="⭐ Southpaw Right-Handed" sheetId="4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5" i="4" l="1"/>
  <c r="H15" i="4"/>
  <c r="I14" i="4"/>
  <c r="H14" i="4"/>
  <c r="H13" i="4"/>
  <c r="I13" i="4" s="1"/>
  <c r="I12" i="4"/>
  <c r="H12" i="4"/>
  <c r="I11" i="4"/>
  <c r="H11" i="4"/>
  <c r="I10" i="4"/>
  <c r="H10" i="4"/>
  <c r="H9" i="4"/>
  <c r="I9" i="4" s="1"/>
  <c r="I8" i="4"/>
  <c r="H8" i="4"/>
  <c r="H7" i="4"/>
  <c r="I7" i="4" s="1"/>
  <c r="I6" i="4"/>
  <c r="H6" i="4"/>
  <c r="H5" i="4"/>
  <c r="I5" i="4" s="1"/>
  <c r="L4" i="4"/>
  <c r="I4" i="4"/>
  <c r="H4" i="4"/>
  <c r="L3" i="4"/>
  <c r="H3" i="4"/>
  <c r="I3" i="4" s="1"/>
  <c r="F31" i="3"/>
  <c r="F30" i="3"/>
  <c r="F29" i="3"/>
  <c r="F28" i="3"/>
  <c r="F27" i="3"/>
  <c r="F26" i="3"/>
  <c r="F25" i="3"/>
  <c r="F24" i="3"/>
  <c r="F23" i="3"/>
  <c r="F22" i="3"/>
  <c r="F21" i="3"/>
  <c r="F20" i="3"/>
  <c r="C20" i="3"/>
  <c r="F19" i="3"/>
  <c r="C19" i="3"/>
  <c r="F18" i="3"/>
  <c r="C18" i="3"/>
  <c r="F17" i="3"/>
  <c r="C17" i="3"/>
  <c r="F16" i="3"/>
  <c r="C16" i="3"/>
  <c r="F15" i="3"/>
  <c r="C15" i="3"/>
  <c r="F14" i="3"/>
  <c r="F12" i="3"/>
  <c r="F11" i="3"/>
  <c r="F10" i="3"/>
  <c r="F9" i="3"/>
  <c r="F8" i="3"/>
  <c r="F7" i="3"/>
  <c r="F6" i="3"/>
  <c r="F5" i="3"/>
  <c r="F4" i="3"/>
  <c r="F20" i="2"/>
  <c r="D20" i="2"/>
  <c r="C20" i="2"/>
  <c r="F19" i="2"/>
  <c r="C19" i="2"/>
  <c r="D19" i="2" s="1"/>
  <c r="G14" i="2"/>
  <c r="F14" i="2"/>
  <c r="D14" i="2"/>
  <c r="C14" i="2"/>
  <c r="G13" i="2"/>
  <c r="F13" i="2"/>
  <c r="C13" i="2"/>
  <c r="D13" i="2" s="1"/>
  <c r="F8" i="2"/>
  <c r="D8" i="2"/>
  <c r="C8" i="2"/>
  <c r="G8" i="2" s="1"/>
  <c r="C7" i="2"/>
  <c r="D6" i="2"/>
  <c r="C6" i="2"/>
  <c r="C5" i="2"/>
  <c r="I119" i="1"/>
  <c r="J119" i="1" s="1"/>
  <c r="I118" i="1"/>
  <c r="J118" i="1" s="1"/>
  <c r="J117" i="1"/>
  <c r="I117" i="1"/>
  <c r="I116" i="1"/>
  <c r="J116" i="1" s="1"/>
  <c r="I115" i="1"/>
  <c r="J115" i="1" s="1"/>
  <c r="I114" i="1"/>
  <c r="J114" i="1" s="1"/>
  <c r="I113" i="1"/>
  <c r="J113" i="1" s="1"/>
  <c r="J112" i="1"/>
  <c r="I112" i="1"/>
  <c r="I111" i="1"/>
  <c r="J111" i="1" s="1"/>
  <c r="I110" i="1"/>
  <c r="J110" i="1" s="1"/>
  <c r="I109" i="1"/>
  <c r="J109" i="1" s="1"/>
  <c r="I108" i="1"/>
  <c r="J108" i="1" s="1"/>
  <c r="J107" i="1"/>
  <c r="I107" i="1"/>
  <c r="I106" i="1"/>
  <c r="J106" i="1" s="1"/>
  <c r="I105" i="1"/>
  <c r="J105" i="1" s="1"/>
  <c r="I104" i="1"/>
  <c r="J104" i="1" s="1"/>
  <c r="I103" i="1"/>
  <c r="J103" i="1" s="1"/>
  <c r="J102" i="1"/>
  <c r="I102" i="1"/>
  <c r="I101" i="1"/>
  <c r="J101" i="1" s="1"/>
  <c r="I100" i="1"/>
  <c r="J100" i="1" s="1"/>
  <c r="I99" i="1"/>
  <c r="J99" i="1" s="1"/>
  <c r="I98" i="1"/>
  <c r="J98" i="1" s="1"/>
  <c r="J97" i="1"/>
  <c r="I97" i="1"/>
  <c r="I96" i="1"/>
  <c r="J96" i="1" s="1"/>
  <c r="I95" i="1"/>
  <c r="J95" i="1" s="1"/>
  <c r="I94" i="1"/>
  <c r="J94" i="1" s="1"/>
  <c r="I93" i="1"/>
  <c r="J93" i="1" s="1"/>
  <c r="J92" i="1"/>
  <c r="I92" i="1"/>
  <c r="I91" i="1"/>
  <c r="J91" i="1" s="1"/>
  <c r="I90" i="1"/>
  <c r="J90" i="1" s="1"/>
  <c r="I89" i="1"/>
  <c r="J89" i="1" s="1"/>
  <c r="I88" i="1"/>
  <c r="J88" i="1" s="1"/>
  <c r="J87" i="1"/>
  <c r="I87" i="1"/>
  <c r="I86" i="1"/>
  <c r="J86" i="1" s="1"/>
  <c r="I85" i="1"/>
  <c r="J85" i="1" s="1"/>
  <c r="I84" i="1"/>
  <c r="J84" i="1" s="1"/>
  <c r="I83" i="1"/>
  <c r="J83" i="1" s="1"/>
  <c r="J82" i="1"/>
  <c r="I82" i="1"/>
  <c r="I81" i="1"/>
  <c r="J81" i="1" s="1"/>
  <c r="I80" i="1"/>
  <c r="J80" i="1" s="1"/>
  <c r="I79" i="1"/>
  <c r="J79" i="1" s="1"/>
  <c r="I78" i="1"/>
  <c r="J78" i="1" s="1"/>
  <c r="J77" i="1"/>
  <c r="I77" i="1"/>
  <c r="I76" i="1"/>
  <c r="J76" i="1" s="1"/>
  <c r="I75" i="1"/>
  <c r="J75" i="1" s="1"/>
  <c r="I74" i="1"/>
  <c r="J74" i="1" s="1"/>
  <c r="I73" i="1"/>
  <c r="J73" i="1" s="1"/>
  <c r="J72" i="1"/>
  <c r="I72" i="1"/>
  <c r="I71" i="1"/>
  <c r="J71" i="1" s="1"/>
  <c r="I70" i="1"/>
  <c r="J70" i="1" s="1"/>
  <c r="I69" i="1"/>
  <c r="J69" i="1" s="1"/>
  <c r="I68" i="1"/>
  <c r="J68" i="1" s="1"/>
  <c r="J67" i="1"/>
  <c r="I67" i="1"/>
  <c r="I66" i="1"/>
  <c r="J66" i="1" s="1"/>
  <c r="I65" i="1"/>
  <c r="J65" i="1" s="1"/>
  <c r="I64" i="1"/>
  <c r="J64" i="1" s="1"/>
  <c r="I63" i="1"/>
  <c r="J63" i="1" s="1"/>
  <c r="J62" i="1"/>
  <c r="I62" i="1"/>
  <c r="I61" i="1"/>
  <c r="J61" i="1" s="1"/>
  <c r="I60" i="1"/>
  <c r="J60" i="1" s="1"/>
  <c r="I59" i="1"/>
  <c r="J59" i="1" s="1"/>
  <c r="I58" i="1"/>
  <c r="J58" i="1" s="1"/>
  <c r="J57" i="1"/>
  <c r="I57" i="1"/>
  <c r="I56" i="1"/>
  <c r="J56" i="1" s="1"/>
  <c r="I55" i="1"/>
  <c r="J55" i="1" s="1"/>
  <c r="I54" i="1"/>
  <c r="J54" i="1" s="1"/>
  <c r="I53" i="1"/>
  <c r="J53" i="1" s="1"/>
  <c r="J52" i="1"/>
  <c r="I52" i="1"/>
  <c r="I51" i="1"/>
  <c r="J51" i="1" s="1"/>
  <c r="I50" i="1"/>
  <c r="J50" i="1" s="1"/>
  <c r="I49" i="1"/>
  <c r="J49" i="1" s="1"/>
  <c r="I48" i="1"/>
  <c r="J48" i="1" s="1"/>
  <c r="J47" i="1"/>
  <c r="I47" i="1"/>
  <c r="I46" i="1"/>
  <c r="J46" i="1" s="1"/>
  <c r="I45" i="1"/>
  <c r="J45" i="1" s="1"/>
  <c r="I44" i="1"/>
  <c r="J44" i="1" s="1"/>
  <c r="I43" i="1"/>
  <c r="J43" i="1" s="1"/>
  <c r="J42" i="1"/>
  <c r="I42" i="1"/>
  <c r="I41" i="1"/>
  <c r="J41" i="1" s="1"/>
  <c r="I40" i="1"/>
  <c r="J40" i="1" s="1"/>
  <c r="I39" i="1"/>
  <c r="J39" i="1" s="1"/>
  <c r="I38" i="1"/>
  <c r="J38" i="1" s="1"/>
  <c r="J37" i="1"/>
  <c r="I37" i="1"/>
  <c r="I36" i="1"/>
  <c r="J36" i="1" s="1"/>
  <c r="I35" i="1"/>
  <c r="J35" i="1" s="1"/>
  <c r="I34" i="1"/>
  <c r="J34" i="1" s="1"/>
  <c r="I33" i="1"/>
  <c r="J33" i="1" s="1"/>
  <c r="J32" i="1"/>
  <c r="I32" i="1"/>
  <c r="I31" i="1"/>
  <c r="J31" i="1" s="1"/>
  <c r="I30" i="1"/>
  <c r="J30" i="1" s="1"/>
  <c r="I29" i="1"/>
  <c r="J29" i="1" s="1"/>
  <c r="I28" i="1"/>
  <c r="J28" i="1" s="1"/>
  <c r="J27" i="1"/>
  <c r="I27" i="1"/>
  <c r="I26" i="1"/>
  <c r="J26" i="1" s="1"/>
  <c r="I25" i="1"/>
  <c r="J25" i="1" s="1"/>
  <c r="I24" i="1"/>
  <c r="J24" i="1" s="1"/>
  <c r="I23" i="1"/>
  <c r="J23" i="1" s="1"/>
  <c r="J22" i="1"/>
  <c r="I22" i="1"/>
  <c r="I21" i="1"/>
  <c r="J21" i="1" s="1"/>
  <c r="I20" i="1"/>
  <c r="J20" i="1" s="1"/>
  <c r="I19" i="1"/>
  <c r="J19" i="1" s="1"/>
  <c r="I18" i="1"/>
  <c r="J18" i="1" s="1"/>
  <c r="J17" i="1"/>
  <c r="I17" i="1"/>
  <c r="I16" i="1"/>
  <c r="J16" i="1" s="1"/>
  <c r="I15" i="1"/>
  <c r="J15" i="1" s="1"/>
  <c r="I14" i="1"/>
  <c r="J14" i="1" s="1"/>
  <c r="I13" i="1"/>
  <c r="J13" i="1" s="1"/>
  <c r="J12" i="1"/>
  <c r="I12" i="1"/>
  <c r="I11" i="1"/>
  <c r="J11" i="1" s="1"/>
  <c r="I10" i="1"/>
  <c r="J10" i="1" s="1"/>
  <c r="I9" i="1"/>
  <c r="J9" i="1" s="1"/>
  <c r="I8" i="1"/>
  <c r="J8" i="1" s="1"/>
  <c r="J7" i="1"/>
  <c r="I7" i="1"/>
  <c r="I6" i="1"/>
  <c r="J6" i="1" s="1"/>
  <c r="I5" i="1"/>
  <c r="J5" i="1" s="1"/>
  <c r="I4" i="1"/>
  <c r="J4" i="1" s="1"/>
  <c r="I3" i="1"/>
  <c r="J3" i="1" s="1"/>
  <c r="G6" i="2" l="1"/>
  <c r="L6" i="4"/>
  <c r="L9" i="4"/>
  <c r="L5" i="4"/>
  <c r="L8" i="4"/>
  <c r="L7" i="4"/>
  <c r="G7" i="2"/>
  <c r="J4" i="3"/>
  <c r="E13" i="2"/>
  <c r="E19" i="2"/>
  <c r="C21" i="3"/>
  <c r="E7" i="2"/>
  <c r="F6" i="2"/>
  <c r="E14" i="2"/>
  <c r="E20" i="2"/>
  <c r="E6" i="2"/>
  <c r="E8" i="2"/>
  <c r="D5" i="2"/>
  <c r="D7" i="2"/>
  <c r="E5" i="2"/>
  <c r="G5" i="2" s="1"/>
  <c r="F5" i="2"/>
  <c r="F7" i="2"/>
  <c r="J6" i="3" l="1"/>
  <c r="J9" i="3"/>
  <c r="I6" i="3"/>
  <c r="I9" i="3"/>
  <c r="J5" i="3"/>
  <c r="I5" i="3"/>
  <c r="J8" i="3"/>
  <c r="I8" i="3"/>
  <c r="J7" i="3"/>
  <c r="I4" i="3"/>
  <c r="I7" i="3"/>
</calcChain>
</file>

<file path=xl/sharedStrings.xml><?xml version="1.0" encoding="utf-8"?>
<sst xmlns="http://schemas.openxmlformats.org/spreadsheetml/2006/main" count="741" uniqueCount="199">
  <si>
    <t>🏆  UFC STANCE INTELLIGENCE REPORT  •  RIGHT-HANDED SOUTHPAW EDITION</t>
  </si>
  <si>
    <t>#</t>
  </si>
  <si>
    <t>Fighter Name</t>
  </si>
  <si>
    <t>Country</t>
  </si>
  <si>
    <t>Continent</t>
  </si>
  <si>
    <t>Stance</t>
  </si>
  <si>
    <t>Hand</t>
  </si>
  <si>
    <t>Wins</t>
  </si>
  <si>
    <t>Losses</t>
  </si>
  <si>
    <t>Total Fights</t>
  </si>
  <si>
    <t>Win Rate %</t>
  </si>
  <si>
    <t>Jon Jones</t>
  </si>
  <si>
    <t>USA</t>
  </si>
  <si>
    <t>North America</t>
  </si>
  <si>
    <t>Orthodox</t>
  </si>
  <si>
    <t>Right</t>
  </si>
  <si>
    <t>Stipe Miocic</t>
  </si>
  <si>
    <t>Daniel Cormier</t>
  </si>
  <si>
    <t>Nate Diaz</t>
  </si>
  <si>
    <t>Southpaw</t>
  </si>
  <si>
    <t>Left</t>
  </si>
  <si>
    <t>Tony Ferguson</t>
  </si>
  <si>
    <t>Colby Covington</t>
  </si>
  <si>
    <t>Tyron Woodley</t>
  </si>
  <si>
    <t>Justin Gaethje</t>
  </si>
  <si>
    <t>Max Holloway</t>
  </si>
  <si>
    <t>Dustin Poirier</t>
  </si>
  <si>
    <t>Sean O'Malley</t>
  </si>
  <si>
    <t>Kamaru Usman</t>
  </si>
  <si>
    <t>Ronda Rousey</t>
  </si>
  <si>
    <t>Rose Namajunas</t>
  </si>
  <si>
    <t>Holly Holm</t>
  </si>
  <si>
    <t>Miesha Tate</t>
  </si>
  <si>
    <t>Cody Garbrandt</t>
  </si>
  <si>
    <t>TJ Dillashaw</t>
  </si>
  <si>
    <t>Henry Cejudo</t>
  </si>
  <si>
    <t>Eddie Alvarez</t>
  </si>
  <si>
    <t>Donald Cerrone</t>
  </si>
  <si>
    <t>Frankie Edgar</t>
  </si>
  <si>
    <t>BJ Penn</t>
  </si>
  <si>
    <t>Nick Diaz</t>
  </si>
  <si>
    <t>Randy Couture</t>
  </si>
  <si>
    <t>Chuck Liddell</t>
  </si>
  <si>
    <t>Jamahal Hill</t>
  </si>
  <si>
    <t>Cory Sandhagen</t>
  </si>
  <si>
    <t>Carla Esparza</t>
  </si>
  <si>
    <t>Tatiana Suarez</t>
  </si>
  <si>
    <t>Robbie Lawler</t>
  </si>
  <si>
    <t>Carlos Condit</t>
  </si>
  <si>
    <t>Dominick Cruz</t>
  </si>
  <si>
    <t>Urijah Faber</t>
  </si>
  <si>
    <t>Jose Aldo</t>
  </si>
  <si>
    <t>Brazil</t>
  </si>
  <si>
    <t>South America</t>
  </si>
  <si>
    <t>Benson Henderson</t>
  </si>
  <si>
    <t>Michael Chandler</t>
  </si>
  <si>
    <t>Sergio Pettis</t>
  </si>
  <si>
    <t>Uriah Hall</t>
  </si>
  <si>
    <t>Jamaica</t>
  </si>
  <si>
    <t>Diego Sanchez</t>
  </si>
  <si>
    <t>Jim Miller</t>
  </si>
  <si>
    <t>Clay Guida</t>
  </si>
  <si>
    <t>Derrick Lewis</t>
  </si>
  <si>
    <t>Curtis Blaydes</t>
  </si>
  <si>
    <t>Anthony Smith</t>
  </si>
  <si>
    <t>Anderson Silva</t>
  </si>
  <si>
    <t>Charles Oliveira</t>
  </si>
  <si>
    <t>Amanda Nunes</t>
  </si>
  <si>
    <t>Cris Cyborg</t>
  </si>
  <si>
    <t>Wanderlei Silva</t>
  </si>
  <si>
    <t>Lyoto Machida</t>
  </si>
  <si>
    <t>Fabricio Werdum</t>
  </si>
  <si>
    <t>Junior Dos Santos</t>
  </si>
  <si>
    <t>Deiveson Figueiredo</t>
  </si>
  <si>
    <t>Alex Pereira</t>
  </si>
  <si>
    <t>Demian Maia</t>
  </si>
  <si>
    <t>Thiago Alves</t>
  </si>
  <si>
    <t>Glover Teixeira</t>
  </si>
  <si>
    <t>Mauricio Rua</t>
  </si>
  <si>
    <t>Rafael Dos Anjos</t>
  </si>
  <si>
    <t>Marlon Vera</t>
  </si>
  <si>
    <t>Ecuador</t>
  </si>
  <si>
    <t>Brandon Moreno</t>
  </si>
  <si>
    <t>Mexico</t>
  </si>
  <si>
    <t>Yair Rodriguez</t>
  </si>
  <si>
    <t>Alexa Grasso</t>
  </si>
  <si>
    <t>Cain Velasquez</t>
  </si>
  <si>
    <t>Khabib Nurmagomedov</t>
  </si>
  <si>
    <t>Russia</t>
  </si>
  <si>
    <t>Europe</t>
  </si>
  <si>
    <t>Islam Makhachev</t>
  </si>
  <si>
    <t>Petr Yan</t>
  </si>
  <si>
    <t>Magomed Ankalaev</t>
  </si>
  <si>
    <t>Zabit Magomedsharipov</t>
  </si>
  <si>
    <t>Fedor Emelianenko</t>
  </si>
  <si>
    <t>Alexei Oleinik</t>
  </si>
  <si>
    <t>Jiri Prochazka</t>
  </si>
  <si>
    <t>Czech Rep.</t>
  </si>
  <si>
    <t>Joanna Jedrzejczyk</t>
  </si>
  <si>
    <t>Poland</t>
  </si>
  <si>
    <t>Jan Blachowicz</t>
  </si>
  <si>
    <t>Mateusz Gamrot</t>
  </si>
  <si>
    <t>Andre Arlovski</t>
  </si>
  <si>
    <t>Belarus</t>
  </si>
  <si>
    <t>Mirko Cro Cop</t>
  </si>
  <si>
    <t>Croatia</t>
  </si>
  <si>
    <t>Nikita Krylov</t>
  </si>
  <si>
    <t>Ukraine</t>
  </si>
  <si>
    <t>Conor McGregor</t>
  </si>
  <si>
    <t>Ireland</t>
  </si>
  <si>
    <t>Paddy Pimblett</t>
  </si>
  <si>
    <t>UK</t>
  </si>
  <si>
    <t>Tom Aspinall</t>
  </si>
  <si>
    <t>Michael Bisping</t>
  </si>
  <si>
    <t>Dan Hardy</t>
  </si>
  <si>
    <t>Darren Till</t>
  </si>
  <si>
    <t>Paul Craig</t>
  </si>
  <si>
    <t>Terry Etim</t>
  </si>
  <si>
    <t>Alistair Overeem</t>
  </si>
  <si>
    <t>Netherlands</t>
  </si>
  <si>
    <t>Gegard Mousasi</t>
  </si>
  <si>
    <t>Bas Rutten</t>
  </si>
  <si>
    <t>Stefan Struve</t>
  </si>
  <si>
    <t>Melvin Manhoef</t>
  </si>
  <si>
    <t>Martin Kampmann</t>
  </si>
  <si>
    <t>Denmark</t>
  </si>
  <si>
    <t>Dennis Siver</t>
  </si>
  <si>
    <t>Germany</t>
  </si>
  <si>
    <t>Israel Adesanya</t>
  </si>
  <si>
    <t>Nigeria</t>
  </si>
  <si>
    <t>Africa</t>
  </si>
  <si>
    <t>Francis Ngannou</t>
  </si>
  <si>
    <t>Cameroon</t>
  </si>
  <si>
    <t>Ciryl Gane</t>
  </si>
  <si>
    <t>France</t>
  </si>
  <si>
    <t>Benoit Saint Denis</t>
  </si>
  <si>
    <t>Nassourdine Imavov</t>
  </si>
  <si>
    <t>Ilia Topuria</t>
  </si>
  <si>
    <t>Georgia</t>
  </si>
  <si>
    <t>Merab Dvalishvili</t>
  </si>
  <si>
    <t>Alexander Volkanovski</t>
  </si>
  <si>
    <t>Australia</t>
  </si>
  <si>
    <t>Oceania</t>
  </si>
  <si>
    <t>Robert Whittaker</t>
  </si>
  <si>
    <t>Mark Hunt</t>
  </si>
  <si>
    <t>New Zealand</t>
  </si>
  <si>
    <t>Tai Tuivasa</t>
  </si>
  <si>
    <t>Georges St-Pierre</t>
  </si>
  <si>
    <t>Canada</t>
  </si>
  <si>
    <t>Rory MacDonald</t>
  </si>
  <si>
    <t>Zhang Weili</t>
  </si>
  <si>
    <t>China</t>
  </si>
  <si>
    <t>Asia</t>
  </si>
  <si>
    <t>Yan Xiaonan</t>
  </si>
  <si>
    <t>Chan Sung Jung</t>
  </si>
  <si>
    <t>South Korea</t>
  </si>
  <si>
    <t>Yushin Okami</t>
  </si>
  <si>
    <t>Japan</t>
  </si>
  <si>
    <t>Takanori Gomi</t>
  </si>
  <si>
    <t>Tatsuya Kawajiri</t>
  </si>
  <si>
    <t>Dong Hyun Kim</t>
  </si>
  <si>
    <t>Valentina Shevchenko</t>
  </si>
  <si>
    <t>Kyrgyzstan</t>
  </si>
  <si>
    <t>Leon Edwards</t>
  </si>
  <si>
    <t>Tarec Saffiedine</t>
  </si>
  <si>
    <t>Belgium</t>
  </si>
  <si>
    <t>📊  STANCE ANALYSIS — SUMMARY STATISTICS</t>
  </si>
  <si>
    <t>▶  PIVOT TABLE 1 — GROUP PERFORMANCE COMPARISON</t>
  </si>
  <si>
    <t>Group</t>
  </si>
  <si>
    <t>Fighters (N)</t>
  </si>
  <si>
    <t>% of Dataset</t>
  </si>
  <si>
    <t>Mean Win %</t>
  </si>
  <si>
    <t>Median Win %</t>
  </si>
  <si>
    <t>Std Dev</t>
  </si>
  <si>
    <t>Orthodox + Right-handed ⚡</t>
  </si>
  <si>
    <t>Southpaw + Left-handed 🥊</t>
  </si>
  <si>
    <t>Southpaw + Right-handed ⭐</t>
  </si>
  <si>
    <t>Orthodox + Left-handed</t>
  </si>
  <si>
    <t>▶  PIVOT TABLE 2 — ORTHODOX vs SOUTHPAW OVERALL</t>
  </si>
  <si>
    <t>Fighters</t>
  </si>
  <si>
    <t>% Share</t>
  </si>
  <si>
    <t>Total Wins</t>
  </si>
  <si>
    <t>Avg Losses</t>
  </si>
  <si>
    <t>▶  PIVOT TABLE 3 — HANDEDNESS BREAKDOWN</t>
  </si>
  <si>
    <t>Avg Win %</t>
  </si>
  <si>
    <t>🌍  COUNTRY &amp; CONTINENT BREAKDOWN</t>
  </si>
  <si>
    <t>CONTINENT SUMMARY (VLOOKUP Demo)</t>
  </si>
  <si>
    <t>🔍  VLOOKUP DEMO — Fighter Lookup by Name</t>
  </si>
  <si>
    <t>Lookup Fighter:</t>
  </si>
  <si>
    <t>Win Rate%</t>
  </si>
  <si>
    <t>⭐  SPOTLIGHT: RIGHT-HANDED SOUTHPAW FIGHTERS — THE RARE COMBINATION</t>
  </si>
  <si>
    <t>Fighter</t>
  </si>
  <si>
    <t>Total</t>
  </si>
  <si>
    <t>MY GROUP STATS</t>
  </si>
  <si>
    <t>Mean Win Rate</t>
  </si>
  <si>
    <t>Max Win Rate</t>
  </si>
  <si>
    <t>Min Win Rate</t>
  </si>
  <si>
    <t>vs Orthodox Right</t>
  </si>
  <si>
    <t>vs Trad Southpaw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</si>
</sst>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7" x14ac:knownFonts="1">
    <font>
      <sz val="11"/>
      <color theme="1"/>
      <name val="Calibri"/>
      <family val="2"/>
      <charset val="1"/>
    </font>
    <font>
      <b/>
      <sz val="15"/>
      <color rgb="FFF39C12"/>
      <name val="Segoe UI"/>
      <charset val="1"/>
    </font>
    <font>
      <b/>
      <sz val="10"/>
      <color rgb="FF1ABC9C"/>
      <name val="Segoe UI"/>
      <charset val="1"/>
    </font>
    <font>
      <sz val="9"/>
      <color rgb="FFBDC3C7"/>
      <name val="Segoe UI"/>
      <charset val="1"/>
    </font>
    <font>
      <sz val="10"/>
      <color rgb="FFECF0F1"/>
      <name val="Segoe UI"/>
      <charset val="1"/>
    </font>
    <font>
      <sz val="9"/>
      <color rgb="FF566573"/>
      <name val="Segoe UI"/>
      <charset val="1"/>
    </font>
    <font>
      <b/>
      <sz val="9"/>
      <color rgb="FF2E86C1"/>
      <name val="Segoe UI"/>
      <charset val="1"/>
    </font>
    <font>
      <sz val="9"/>
      <color rgb="FFECF0F1"/>
      <name val="Segoe UI"/>
      <charset val="1"/>
    </font>
    <font>
      <b/>
      <sz val="10"/>
      <color rgb="FF27AE60"/>
      <name val="Segoe UI"/>
      <charset val="1"/>
    </font>
    <font>
      <sz val="10"/>
      <color rgb="FFE74C3C"/>
      <name val="Segoe UI"/>
      <charset val="1"/>
    </font>
    <font>
      <sz val="9"/>
      <color rgb="FF1ABC9C"/>
      <name val="Segoe UI"/>
      <charset val="1"/>
    </font>
    <font>
      <b/>
      <sz val="9"/>
      <color rgb="FF1ABC9C"/>
      <name val="Segoe UI"/>
      <charset val="1"/>
    </font>
    <font>
      <sz val="9"/>
      <color rgb="FFF39C12"/>
      <name val="Segoe UI"/>
      <charset val="1"/>
    </font>
    <font>
      <b/>
      <sz val="14"/>
      <color rgb="FFF39C12"/>
      <name val="Segoe UI"/>
      <charset val="1"/>
    </font>
    <font>
      <b/>
      <sz val="11"/>
      <color rgb="FF1ABC9C"/>
      <name val="Segoe UI"/>
      <charset val="1"/>
    </font>
    <font>
      <b/>
      <sz val="10"/>
      <color rgb="FFECF0F1"/>
      <name val="Segoe UI"/>
      <charset val="1"/>
    </font>
    <font>
      <b/>
      <sz val="10"/>
      <color rgb="FF2E86C1"/>
      <name val="Segoe UI"/>
      <charset val="1"/>
    </font>
    <font>
      <b/>
      <sz val="10"/>
      <color rgb="FFE67E22"/>
      <name val="Segoe UI"/>
      <charset val="1"/>
    </font>
    <font>
      <sz val="10"/>
      <color rgb="FF2E86C1"/>
      <name val="Segoe UI"/>
      <charset val="1"/>
    </font>
    <font>
      <b/>
      <sz val="11"/>
      <color rgb="FFECF0F1"/>
      <name val="Segoe UI"/>
      <charset val="1"/>
    </font>
    <font>
      <sz val="10"/>
      <color rgb="FFBDC3C7"/>
      <name val="Segoe UI"/>
      <charset val="1"/>
    </font>
    <font>
      <sz val="10"/>
      <color rgb="FF27AE60"/>
      <name val="Segoe UI"/>
      <charset val="1"/>
    </font>
    <font>
      <sz val="10"/>
      <color rgb="FFE67E22"/>
      <name val="Segoe UI"/>
      <charset val="1"/>
    </font>
    <font>
      <sz val="10"/>
      <color rgb="FF1ABC9C"/>
      <name val="Segoe UI"/>
      <charset val="1"/>
    </font>
    <font>
      <b/>
      <sz val="10"/>
      <color rgb="FFF39C12"/>
      <name val="Segoe UI"/>
      <charset val="1"/>
    </font>
    <font>
      <b/>
      <sz val="10"/>
      <color rgb="FFE74C3C"/>
      <name val="Segoe UI"/>
      <charset val="1"/>
    </font>
    <font>
      <b/>
      <sz val="11"/>
      <color rgb="FF2E86C1"/>
      <name val="Segoe UI"/>
      <charset val="1"/>
    </font>
    <font>
      <b/>
      <sz val="10"/>
      <color rgb="FFBDC3C7"/>
      <name val="Segoe UI"/>
      <charset val="1"/>
    </font>
    <font>
      <b/>
      <sz val="9"/>
      <color rgb="FF27AE60"/>
      <name val="Segoe UI"/>
      <charset val="1"/>
    </font>
    <font>
      <b/>
      <sz val="10"/>
      <color rgb="FF8E44AD"/>
      <name val="Segoe UI"/>
      <charset val="1"/>
    </font>
    <font>
      <b/>
      <sz val="9"/>
      <color rgb="FF8E44AD"/>
      <name val="Segoe UI"/>
      <charset val="1"/>
    </font>
    <font>
      <b/>
      <sz val="9"/>
      <color rgb="FFF39C12"/>
      <name val="Segoe UI"/>
      <charset val="1"/>
    </font>
    <font>
      <b/>
      <sz val="11"/>
      <color rgb="FFF39C12"/>
      <name val="Segoe UI"/>
      <charset val="1"/>
    </font>
    <font>
      <b/>
      <sz val="9"/>
      <color rgb="FFBDC3C7"/>
      <name val="Segoe UI"/>
      <charset val="1"/>
    </font>
    <font>
      <b/>
      <sz val="9"/>
      <color rgb="FFE67E22"/>
      <name val="Segoe UI"/>
      <charset val="1"/>
    </font>
    <font>
      <b/>
      <sz val="11"/>
      <color rgb="FF27AE60"/>
      <name val="Segoe UI"/>
      <charset val="1"/>
    </font>
    <font>
      <sz val="11"/>
      <color rgb="FFE74C3C"/>
      <name val="Segoe UI"/>
      <charset val="1"/>
    </font>
  </fonts>
  <fills count="7">
    <fill>
      <patternFill patternType="none"/>
    </fill>
    <fill>
      <patternFill patternType="gray125"/>
    </fill>
    <fill>
      <patternFill patternType="solid">
        <fgColor rgb="FF17202A"/>
        <bgColor rgb="FF1A252F"/>
      </patternFill>
    </fill>
    <fill>
      <patternFill patternType="solid">
        <fgColor rgb="FF1A252F"/>
        <bgColor rgb="FF1C2833"/>
      </patternFill>
    </fill>
    <fill>
      <patternFill patternType="solid">
        <fgColor rgb="FF1C2833"/>
        <bgColor rgb="FF1A252F"/>
      </patternFill>
    </fill>
    <fill>
      <patternFill patternType="solid">
        <fgColor rgb="FF212F3C"/>
        <bgColor rgb="FF212F3D"/>
      </patternFill>
    </fill>
    <fill>
      <patternFill patternType="solid">
        <fgColor rgb="FF212F3D"/>
        <bgColor rgb="FF212F3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ABC9C"/>
      </bottom>
      <diagonal/>
    </border>
    <border>
      <left/>
      <right/>
      <top/>
      <bottom style="medium">
        <color rgb="FFF39C12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32" fillId="3" borderId="2" xfId="0" applyFont="1" applyFill="1" applyBorder="1" applyAlignment="1">
      <alignment horizontal="center" vertical="center"/>
    </xf>
    <xf numFmtId="0" fontId="32" fillId="6" borderId="0" xfId="0" applyFont="1" applyFill="1" applyAlignment="1">
      <alignment horizontal="left" vertical="center"/>
    </xf>
    <xf numFmtId="0" fontId="24" fillId="3" borderId="2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2" fontId="10" fillId="4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2" fontId="10" fillId="5" borderId="0" xfId="0" applyNumberFormat="1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4" borderId="0" xfId="0" applyFont="1" applyFill="1" applyAlignment="1">
      <alignment horizontal="left" vertical="center"/>
    </xf>
    <xf numFmtId="0" fontId="19" fillId="4" borderId="0" xfId="0" applyFont="1" applyFill="1" applyAlignment="1">
      <alignment horizontal="center" vertical="center"/>
    </xf>
    <xf numFmtId="164" fontId="20" fillId="4" borderId="0" xfId="0" applyNumberFormat="1" applyFont="1" applyFill="1" applyAlignment="1">
      <alignment horizontal="center" vertical="center"/>
    </xf>
    <xf numFmtId="2" fontId="21" fillId="4" borderId="0" xfId="0" applyNumberFormat="1" applyFont="1" applyFill="1" applyAlignment="1">
      <alignment horizontal="center" vertical="center"/>
    </xf>
    <xf numFmtId="2" fontId="20" fillId="4" borderId="0" xfId="0" applyNumberFormat="1" applyFont="1" applyFill="1" applyAlignment="1">
      <alignment horizontal="center" vertical="center"/>
    </xf>
    <xf numFmtId="2" fontId="22" fillId="4" borderId="0" xfId="0" applyNumberFormat="1" applyFont="1" applyFill="1" applyAlignment="1">
      <alignment horizontal="center" vertical="center"/>
    </xf>
    <xf numFmtId="0" fontId="23" fillId="5" borderId="0" xfId="0" applyFont="1" applyFill="1" applyAlignment="1">
      <alignment horizontal="left" vertical="center"/>
    </xf>
    <xf numFmtId="0" fontId="19" fillId="5" borderId="0" xfId="0" applyFont="1" applyFill="1" applyAlignment="1">
      <alignment horizontal="center" vertical="center"/>
    </xf>
    <xf numFmtId="164" fontId="20" fillId="5" borderId="0" xfId="0" applyNumberFormat="1" applyFont="1" applyFill="1" applyAlignment="1">
      <alignment horizontal="center" vertical="center"/>
    </xf>
    <xf numFmtId="2" fontId="21" fillId="5" borderId="0" xfId="0" applyNumberFormat="1" applyFont="1" applyFill="1" applyAlignment="1">
      <alignment horizontal="center" vertical="center"/>
    </xf>
    <xf numFmtId="2" fontId="20" fillId="5" borderId="0" xfId="0" applyNumberFormat="1" applyFont="1" applyFill="1" applyAlignment="1">
      <alignment horizontal="center" vertical="center"/>
    </xf>
    <xf numFmtId="2" fontId="22" fillId="5" borderId="0" xfId="0" applyNumberFormat="1" applyFont="1" applyFill="1" applyAlignment="1">
      <alignment horizontal="center" vertical="center"/>
    </xf>
    <xf numFmtId="0" fontId="24" fillId="4" borderId="0" xfId="0" applyFont="1" applyFill="1" applyAlignment="1">
      <alignment horizontal="left" vertical="center"/>
    </xf>
    <xf numFmtId="0" fontId="20" fillId="5" borderId="0" xfId="0" applyFont="1" applyFill="1" applyAlignment="1">
      <alignment horizontal="left" vertical="center"/>
    </xf>
    <xf numFmtId="0" fontId="25" fillId="3" borderId="1" xfId="0" applyFont="1" applyFill="1" applyBorder="1" applyAlignment="1">
      <alignment horizontal="center" vertical="center"/>
    </xf>
    <xf numFmtId="0" fontId="26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2" fontId="9" fillId="4" borderId="0" xfId="0" applyNumberFormat="1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2" fontId="9" fillId="5" borderId="0" xfId="0" applyNumberFormat="1" applyFont="1" applyFill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2" fontId="3" fillId="5" borderId="0" xfId="0" applyNumberFormat="1" applyFont="1" applyFill="1" applyAlignment="1">
      <alignment horizontal="center" vertical="center"/>
    </xf>
    <xf numFmtId="0" fontId="29" fillId="5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0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27" fillId="5" borderId="0" xfId="0" applyFont="1" applyFill="1" applyAlignment="1">
      <alignment horizontal="left" vertical="center"/>
    </xf>
    <xf numFmtId="0" fontId="19" fillId="6" borderId="0" xfId="0" applyFont="1" applyFill="1" applyAlignment="1">
      <alignment horizontal="center" vertical="center"/>
    </xf>
    <xf numFmtId="0" fontId="3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33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2" fontId="4" fillId="4" borderId="0" xfId="0" applyNumberFormat="1" applyFont="1" applyFill="1" applyAlignment="1">
      <alignment horizontal="center" vertical="center"/>
    </xf>
    <xf numFmtId="0" fontId="34" fillId="5" borderId="0" xfId="0" applyFont="1" applyFill="1" applyAlignment="1">
      <alignment horizontal="center" vertical="center"/>
    </xf>
    <xf numFmtId="0" fontId="34" fillId="4" borderId="0" xfId="0" applyFont="1" applyFill="1" applyAlignment="1">
      <alignment horizontal="center" vertical="center"/>
    </xf>
    <xf numFmtId="0" fontId="31" fillId="5" borderId="0" xfId="0" applyFont="1" applyFill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left" vertical="center"/>
    </xf>
    <xf numFmtId="0" fontId="35" fillId="4" borderId="0" xfId="0" applyFont="1" applyFill="1" applyAlignment="1">
      <alignment horizontal="center" vertical="center"/>
    </xf>
    <xf numFmtId="0" fontId="36" fillId="4" borderId="0" xfId="0" applyFont="1" applyFill="1" applyAlignment="1">
      <alignment horizontal="center" vertical="center"/>
    </xf>
    <xf numFmtId="2" fontId="24" fillId="4" borderId="0" xfId="0" applyNumberFormat="1" applyFont="1" applyFill="1" applyAlignment="1">
      <alignment horizontal="center" vertical="center"/>
    </xf>
    <xf numFmtId="0" fontId="15" fillId="5" borderId="0" xfId="0" applyFont="1" applyFill="1" applyAlignment="1">
      <alignment horizontal="left" vertical="center"/>
    </xf>
    <xf numFmtId="0" fontId="35" fillId="5" borderId="0" xfId="0" applyFont="1" applyFill="1" applyAlignment="1">
      <alignment horizontal="center" vertical="center"/>
    </xf>
    <xf numFmtId="0" fontId="36" fillId="5" borderId="0" xfId="0" applyFont="1" applyFill="1" applyAlignment="1">
      <alignment horizontal="center" vertical="center"/>
    </xf>
    <xf numFmtId="2" fontId="24" fillId="5" borderId="0" xfId="0" applyNumberFormat="1" applyFont="1" applyFill="1" applyAlignment="1">
      <alignment horizontal="center" vertical="center"/>
    </xf>
    <xf numFmtId="164" fontId="19" fillId="5" borderId="0" xfId="0" applyNumberFormat="1" applyFont="1" applyFill="1" applyAlignment="1">
      <alignment horizontal="center" vertical="center"/>
    </xf>
    <xf numFmtId="2" fontId="19" fillId="4" borderId="0" xfId="0" applyNumberFormat="1" applyFont="1" applyFill="1" applyAlignment="1">
      <alignment horizontal="center" vertical="center"/>
    </xf>
    <xf numFmtId="2" fontId="19" fillId="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CF0F1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7202A"/>
      <rgbColor rgb="FF808000"/>
      <rgbColor rgb="FF800080"/>
      <rgbColor rgb="FF008080"/>
      <rgbColor rgb="FFBDC3C7"/>
      <rgbColor rgb="FF808080"/>
      <rgbColor rgb="FF9999FF"/>
      <rgbColor rgb="FF8E44AD"/>
      <rgbColor rgb="FFFFFFCC"/>
      <rgbColor rgb="FFCCFFFF"/>
      <rgbColor rgb="FF660066"/>
      <rgbColor rgb="FFE74C3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86C1"/>
      <rgbColor rgb="FF1ABC9C"/>
      <rgbColor rgb="FF99CC00"/>
      <rgbColor rgb="FFFFCC00"/>
      <rgbColor rgb="FFF39C12"/>
      <rgbColor rgb="FFE67E22"/>
      <rgbColor rgb="FF566573"/>
      <rgbColor rgb="FF969696"/>
      <rgbColor rgb="FF1C2833"/>
      <rgbColor rgb="FF27AE60"/>
      <rgbColor rgb="FF1A252F"/>
      <rgbColor rgb="FF212F3D"/>
      <rgbColor rgb="FF993300"/>
      <rgbColor rgb="FF993366"/>
      <rgbColor rgb="FF333399"/>
      <rgbColor rgb="FF212F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BC9C"/>
  </sheetPr>
  <dimension ref="A1:J119"/>
  <sheetViews>
    <sheetView showGridLines="0" zoomScaleNormal="100" workbookViewId="0">
      <pane ySplit="2" topLeftCell="A3" activePane="bottomLeft" state="frozen"/>
      <selection pane="bottomLeft" activeCell="N14" sqref="N14"/>
    </sheetView>
  </sheetViews>
  <sheetFormatPr baseColWidth="10" defaultColWidth="8.6640625" defaultRowHeight="15" x14ac:dyDescent="0.2"/>
  <cols>
    <col min="1" max="1" width="5" customWidth="1"/>
    <col min="2" max="2" width="24" customWidth="1"/>
    <col min="3" max="3" width="14" customWidth="1"/>
    <col min="4" max="4" width="16" customWidth="1"/>
    <col min="5" max="5" width="12" customWidth="1"/>
    <col min="6" max="6" width="10" customWidth="1"/>
    <col min="7" max="7" width="8" customWidth="1"/>
    <col min="8" max="8" width="9" customWidth="1"/>
    <col min="9" max="9" width="14" customWidth="1"/>
    <col min="10" max="10" width="13" customWidth="1"/>
  </cols>
  <sheetData>
    <row r="1" spans="1:10" ht="37.5" customHeight="1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ht="21.75" customHeight="1" x14ac:dyDescent="0.2">
      <c r="A2" s="7" t="s">
        <v>1</v>
      </c>
      <c r="B2" s="7" t="s">
        <v>2</v>
      </c>
      <c r="C2" s="7" t="s">
        <v>3</v>
      </c>
      <c r="D2" s="7" t="s">
        <v>4</v>
      </c>
      <c r="E2" s="7"/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spans="1:10" ht="16.5" customHeight="1" x14ac:dyDescent="0.2">
      <c r="A3" s="8">
        <v>1</v>
      </c>
      <c r="B3" s="9" t="s">
        <v>11</v>
      </c>
      <c r="C3" s="8" t="s">
        <v>12</v>
      </c>
      <c r="D3" s="10" t="s">
        <v>13</v>
      </c>
      <c r="E3" s="11" t="s">
        <v>14</v>
      </c>
      <c r="F3" s="12" t="s">
        <v>15</v>
      </c>
      <c r="G3" s="13">
        <v>27</v>
      </c>
      <c r="H3" s="14">
        <v>1</v>
      </c>
      <c r="I3" s="8">
        <f t="shared" ref="I3:I34" si="0">G3+H3</f>
        <v>28</v>
      </c>
      <c r="J3" s="15">
        <f t="shared" ref="J3:J34" si="1">IF(I3&gt;0,G3/I3*100,0)</f>
        <v>96.428571428571431</v>
      </c>
    </row>
    <row r="4" spans="1:10" ht="16.5" customHeight="1" x14ac:dyDescent="0.2">
      <c r="A4" s="16">
        <v>2</v>
      </c>
      <c r="B4" s="17" t="s">
        <v>16</v>
      </c>
      <c r="C4" s="16" t="s">
        <v>12</v>
      </c>
      <c r="D4" s="18" t="s">
        <v>13</v>
      </c>
      <c r="E4" s="19" t="s">
        <v>14</v>
      </c>
      <c r="F4" s="20" t="s">
        <v>15</v>
      </c>
      <c r="G4" s="21">
        <v>20</v>
      </c>
      <c r="H4" s="22">
        <v>4</v>
      </c>
      <c r="I4" s="16">
        <f t="shared" si="0"/>
        <v>24</v>
      </c>
      <c r="J4" s="23">
        <f t="shared" si="1"/>
        <v>83.333333333333343</v>
      </c>
    </row>
    <row r="5" spans="1:10" ht="16.5" customHeight="1" x14ac:dyDescent="0.2">
      <c r="A5" s="8">
        <v>3</v>
      </c>
      <c r="B5" s="9" t="s">
        <v>17</v>
      </c>
      <c r="C5" s="8" t="s">
        <v>12</v>
      </c>
      <c r="D5" s="10" t="s">
        <v>13</v>
      </c>
      <c r="E5" s="11" t="s">
        <v>14</v>
      </c>
      <c r="F5" s="12" t="s">
        <v>15</v>
      </c>
      <c r="G5" s="13">
        <v>22</v>
      </c>
      <c r="H5" s="14">
        <v>3</v>
      </c>
      <c r="I5" s="8">
        <f t="shared" si="0"/>
        <v>25</v>
      </c>
      <c r="J5" s="15">
        <f t="shared" si="1"/>
        <v>88</v>
      </c>
    </row>
    <row r="6" spans="1:10" ht="16.5" customHeight="1" x14ac:dyDescent="0.2">
      <c r="A6" s="16">
        <v>4</v>
      </c>
      <c r="B6" s="17" t="s">
        <v>18</v>
      </c>
      <c r="C6" s="16" t="s">
        <v>12</v>
      </c>
      <c r="D6" s="18" t="s">
        <v>13</v>
      </c>
      <c r="E6" s="24" t="s">
        <v>19</v>
      </c>
      <c r="F6" s="20" t="s">
        <v>20</v>
      </c>
      <c r="G6" s="21">
        <v>21</v>
      </c>
      <c r="H6" s="22">
        <v>13</v>
      </c>
      <c r="I6" s="16">
        <f t="shared" si="0"/>
        <v>34</v>
      </c>
      <c r="J6" s="23">
        <f t="shared" si="1"/>
        <v>61.764705882352942</v>
      </c>
    </row>
    <row r="7" spans="1:10" ht="16.5" customHeight="1" x14ac:dyDescent="0.2">
      <c r="A7" s="8">
        <v>5</v>
      </c>
      <c r="B7" s="9" t="s">
        <v>21</v>
      </c>
      <c r="C7" s="8" t="s">
        <v>12</v>
      </c>
      <c r="D7" s="10" t="s">
        <v>13</v>
      </c>
      <c r="E7" s="11" t="s">
        <v>14</v>
      </c>
      <c r="F7" s="12" t="s">
        <v>15</v>
      </c>
      <c r="G7" s="13">
        <v>25</v>
      </c>
      <c r="H7" s="14">
        <v>8</v>
      </c>
      <c r="I7" s="8">
        <f t="shared" si="0"/>
        <v>33</v>
      </c>
      <c r="J7" s="15">
        <f t="shared" si="1"/>
        <v>75.757575757575751</v>
      </c>
    </row>
    <row r="8" spans="1:10" ht="16.5" customHeight="1" x14ac:dyDescent="0.2">
      <c r="A8" s="16">
        <v>6</v>
      </c>
      <c r="B8" s="17" t="s">
        <v>22</v>
      </c>
      <c r="C8" s="16" t="s">
        <v>12</v>
      </c>
      <c r="D8" s="18" t="s">
        <v>13</v>
      </c>
      <c r="E8" s="19" t="s">
        <v>14</v>
      </c>
      <c r="F8" s="20" t="s">
        <v>15</v>
      </c>
      <c r="G8" s="21">
        <v>17</v>
      </c>
      <c r="H8" s="22">
        <v>4</v>
      </c>
      <c r="I8" s="16">
        <f t="shared" si="0"/>
        <v>21</v>
      </c>
      <c r="J8" s="23">
        <f t="shared" si="1"/>
        <v>80.952380952380949</v>
      </c>
    </row>
    <row r="9" spans="1:10" ht="16.5" customHeight="1" x14ac:dyDescent="0.2">
      <c r="A9" s="8">
        <v>7</v>
      </c>
      <c r="B9" s="9" t="s">
        <v>23</v>
      </c>
      <c r="C9" s="8" t="s">
        <v>12</v>
      </c>
      <c r="D9" s="10" t="s">
        <v>13</v>
      </c>
      <c r="E9" s="11" t="s">
        <v>14</v>
      </c>
      <c r="F9" s="12" t="s">
        <v>15</v>
      </c>
      <c r="G9" s="13">
        <v>19</v>
      </c>
      <c r="H9" s="14">
        <v>7</v>
      </c>
      <c r="I9" s="8">
        <f t="shared" si="0"/>
        <v>26</v>
      </c>
      <c r="J9" s="15">
        <f t="shared" si="1"/>
        <v>73.076923076923066</v>
      </c>
    </row>
    <row r="10" spans="1:10" ht="16.5" customHeight="1" x14ac:dyDescent="0.2">
      <c r="A10" s="16">
        <v>8</v>
      </c>
      <c r="B10" s="17" t="s">
        <v>24</v>
      </c>
      <c r="C10" s="16" t="s">
        <v>12</v>
      </c>
      <c r="D10" s="18" t="s">
        <v>13</v>
      </c>
      <c r="E10" s="19" t="s">
        <v>14</v>
      </c>
      <c r="F10" s="20" t="s">
        <v>15</v>
      </c>
      <c r="G10" s="21">
        <v>25</v>
      </c>
      <c r="H10" s="22">
        <v>4</v>
      </c>
      <c r="I10" s="16">
        <f t="shared" si="0"/>
        <v>29</v>
      </c>
      <c r="J10" s="23">
        <f t="shared" si="1"/>
        <v>86.206896551724128</v>
      </c>
    </row>
    <row r="11" spans="1:10" ht="16.5" customHeight="1" x14ac:dyDescent="0.2">
      <c r="A11" s="8">
        <v>9</v>
      </c>
      <c r="B11" s="9" t="s">
        <v>25</v>
      </c>
      <c r="C11" s="8" t="s">
        <v>12</v>
      </c>
      <c r="D11" s="10" t="s">
        <v>13</v>
      </c>
      <c r="E11" s="11" t="s">
        <v>14</v>
      </c>
      <c r="F11" s="12" t="s">
        <v>15</v>
      </c>
      <c r="G11" s="13">
        <v>25</v>
      </c>
      <c r="H11" s="14">
        <v>7</v>
      </c>
      <c r="I11" s="8">
        <f t="shared" si="0"/>
        <v>32</v>
      </c>
      <c r="J11" s="15">
        <f t="shared" si="1"/>
        <v>78.125</v>
      </c>
    </row>
    <row r="12" spans="1:10" ht="16.5" customHeight="1" x14ac:dyDescent="0.2">
      <c r="A12" s="16">
        <v>10</v>
      </c>
      <c r="B12" s="17" t="s">
        <v>26</v>
      </c>
      <c r="C12" s="16" t="s">
        <v>12</v>
      </c>
      <c r="D12" s="18" t="s">
        <v>13</v>
      </c>
      <c r="E12" s="24" t="s">
        <v>19</v>
      </c>
      <c r="F12" s="25" t="s">
        <v>15</v>
      </c>
      <c r="G12" s="21">
        <v>29</v>
      </c>
      <c r="H12" s="22">
        <v>8</v>
      </c>
      <c r="I12" s="16">
        <f t="shared" si="0"/>
        <v>37</v>
      </c>
      <c r="J12" s="23">
        <f t="shared" si="1"/>
        <v>78.378378378378372</v>
      </c>
    </row>
    <row r="13" spans="1:10" ht="16.5" customHeight="1" x14ac:dyDescent="0.2">
      <c r="A13" s="8">
        <v>11</v>
      </c>
      <c r="B13" s="9" t="s">
        <v>27</v>
      </c>
      <c r="C13" s="8" t="s">
        <v>12</v>
      </c>
      <c r="D13" s="10" t="s">
        <v>13</v>
      </c>
      <c r="E13" s="26" t="s">
        <v>19</v>
      </c>
      <c r="F13" s="27" t="s">
        <v>15</v>
      </c>
      <c r="G13" s="13">
        <v>17</v>
      </c>
      <c r="H13" s="14">
        <v>1</v>
      </c>
      <c r="I13" s="8">
        <f t="shared" si="0"/>
        <v>18</v>
      </c>
      <c r="J13" s="15">
        <f t="shared" si="1"/>
        <v>94.444444444444443</v>
      </c>
    </row>
    <row r="14" spans="1:10" ht="16.5" customHeight="1" x14ac:dyDescent="0.2">
      <c r="A14" s="16">
        <v>12</v>
      </c>
      <c r="B14" s="17" t="s">
        <v>28</v>
      </c>
      <c r="C14" s="16" t="s">
        <v>12</v>
      </c>
      <c r="D14" s="18" t="s">
        <v>13</v>
      </c>
      <c r="E14" s="19" t="s">
        <v>14</v>
      </c>
      <c r="F14" s="20" t="s">
        <v>15</v>
      </c>
      <c r="G14" s="21">
        <v>20</v>
      </c>
      <c r="H14" s="22">
        <v>3</v>
      </c>
      <c r="I14" s="16">
        <f t="shared" si="0"/>
        <v>23</v>
      </c>
      <c r="J14" s="23">
        <f t="shared" si="1"/>
        <v>86.956521739130437</v>
      </c>
    </row>
    <row r="15" spans="1:10" ht="16.5" customHeight="1" x14ac:dyDescent="0.2">
      <c r="A15" s="8">
        <v>13</v>
      </c>
      <c r="B15" s="9" t="s">
        <v>29</v>
      </c>
      <c r="C15" s="8" t="s">
        <v>12</v>
      </c>
      <c r="D15" s="10" t="s">
        <v>13</v>
      </c>
      <c r="E15" s="11" t="s">
        <v>14</v>
      </c>
      <c r="F15" s="12" t="s">
        <v>15</v>
      </c>
      <c r="G15" s="13">
        <v>12</v>
      </c>
      <c r="H15" s="14">
        <v>2</v>
      </c>
      <c r="I15" s="8">
        <f t="shared" si="0"/>
        <v>14</v>
      </c>
      <c r="J15" s="15">
        <f t="shared" si="1"/>
        <v>85.714285714285708</v>
      </c>
    </row>
    <row r="16" spans="1:10" ht="16.5" customHeight="1" x14ac:dyDescent="0.2">
      <c r="A16" s="16">
        <v>14</v>
      </c>
      <c r="B16" s="17" t="s">
        <v>30</v>
      </c>
      <c r="C16" s="16" t="s">
        <v>12</v>
      </c>
      <c r="D16" s="18" t="s">
        <v>13</v>
      </c>
      <c r="E16" s="24" t="s">
        <v>19</v>
      </c>
      <c r="F16" s="20" t="s">
        <v>20</v>
      </c>
      <c r="G16" s="21">
        <v>12</v>
      </c>
      <c r="H16" s="22">
        <v>5</v>
      </c>
      <c r="I16" s="16">
        <f t="shared" si="0"/>
        <v>17</v>
      </c>
      <c r="J16" s="23">
        <f t="shared" si="1"/>
        <v>70.588235294117652</v>
      </c>
    </row>
    <row r="17" spans="1:10" ht="16.5" customHeight="1" x14ac:dyDescent="0.2">
      <c r="A17" s="8">
        <v>15</v>
      </c>
      <c r="B17" s="9" t="s">
        <v>31</v>
      </c>
      <c r="C17" s="8" t="s">
        <v>12</v>
      </c>
      <c r="D17" s="10" t="s">
        <v>13</v>
      </c>
      <c r="E17" s="11" t="s">
        <v>14</v>
      </c>
      <c r="F17" s="12" t="s">
        <v>15</v>
      </c>
      <c r="G17" s="13">
        <v>14</v>
      </c>
      <c r="H17" s="14">
        <v>6</v>
      </c>
      <c r="I17" s="8">
        <f t="shared" si="0"/>
        <v>20</v>
      </c>
      <c r="J17" s="15">
        <f t="shared" si="1"/>
        <v>70</v>
      </c>
    </row>
    <row r="18" spans="1:10" ht="16.5" customHeight="1" x14ac:dyDescent="0.2">
      <c r="A18" s="16">
        <v>16</v>
      </c>
      <c r="B18" s="17" t="s">
        <v>32</v>
      </c>
      <c r="C18" s="16" t="s">
        <v>12</v>
      </c>
      <c r="D18" s="18" t="s">
        <v>13</v>
      </c>
      <c r="E18" s="19" t="s">
        <v>14</v>
      </c>
      <c r="F18" s="20" t="s">
        <v>15</v>
      </c>
      <c r="G18" s="21">
        <v>18</v>
      </c>
      <c r="H18" s="22">
        <v>7</v>
      </c>
      <c r="I18" s="16">
        <f t="shared" si="0"/>
        <v>25</v>
      </c>
      <c r="J18" s="23">
        <f t="shared" si="1"/>
        <v>72</v>
      </c>
    </row>
    <row r="19" spans="1:10" ht="16.5" customHeight="1" x14ac:dyDescent="0.2">
      <c r="A19" s="8">
        <v>17</v>
      </c>
      <c r="B19" s="9" t="s">
        <v>33</v>
      </c>
      <c r="C19" s="8" t="s">
        <v>12</v>
      </c>
      <c r="D19" s="10" t="s">
        <v>13</v>
      </c>
      <c r="E19" s="11" t="s">
        <v>14</v>
      </c>
      <c r="F19" s="12" t="s">
        <v>15</v>
      </c>
      <c r="G19" s="13">
        <v>12</v>
      </c>
      <c r="H19" s="14">
        <v>5</v>
      </c>
      <c r="I19" s="8">
        <f t="shared" si="0"/>
        <v>17</v>
      </c>
      <c r="J19" s="15">
        <f t="shared" si="1"/>
        <v>70.588235294117652</v>
      </c>
    </row>
    <row r="20" spans="1:10" ht="16.5" customHeight="1" x14ac:dyDescent="0.2">
      <c r="A20" s="16">
        <v>18</v>
      </c>
      <c r="B20" s="17" t="s">
        <v>34</v>
      </c>
      <c r="C20" s="16" t="s">
        <v>12</v>
      </c>
      <c r="D20" s="18" t="s">
        <v>13</v>
      </c>
      <c r="E20" s="24" t="s">
        <v>19</v>
      </c>
      <c r="F20" s="25" t="s">
        <v>15</v>
      </c>
      <c r="G20" s="21">
        <v>17</v>
      </c>
      <c r="H20" s="22">
        <v>5</v>
      </c>
      <c r="I20" s="16">
        <f t="shared" si="0"/>
        <v>22</v>
      </c>
      <c r="J20" s="23">
        <f t="shared" si="1"/>
        <v>77.272727272727266</v>
      </c>
    </row>
    <row r="21" spans="1:10" ht="16.5" customHeight="1" x14ac:dyDescent="0.2">
      <c r="A21" s="8">
        <v>19</v>
      </c>
      <c r="B21" s="9" t="s">
        <v>35</v>
      </c>
      <c r="C21" s="8" t="s">
        <v>12</v>
      </c>
      <c r="D21" s="10" t="s">
        <v>13</v>
      </c>
      <c r="E21" s="11" t="s">
        <v>14</v>
      </c>
      <c r="F21" s="12" t="s">
        <v>15</v>
      </c>
      <c r="G21" s="13">
        <v>16</v>
      </c>
      <c r="H21" s="14">
        <v>2</v>
      </c>
      <c r="I21" s="8">
        <f t="shared" si="0"/>
        <v>18</v>
      </c>
      <c r="J21" s="15">
        <f t="shared" si="1"/>
        <v>88.888888888888886</v>
      </c>
    </row>
    <row r="22" spans="1:10" ht="16.5" customHeight="1" x14ac:dyDescent="0.2">
      <c r="A22" s="16">
        <v>20</v>
      </c>
      <c r="B22" s="17" t="s">
        <v>36</v>
      </c>
      <c r="C22" s="16" t="s">
        <v>12</v>
      </c>
      <c r="D22" s="18" t="s">
        <v>13</v>
      </c>
      <c r="E22" s="19" t="s">
        <v>14</v>
      </c>
      <c r="F22" s="20" t="s">
        <v>15</v>
      </c>
      <c r="G22" s="21">
        <v>29</v>
      </c>
      <c r="H22" s="22">
        <v>10</v>
      </c>
      <c r="I22" s="16">
        <f t="shared" si="0"/>
        <v>39</v>
      </c>
      <c r="J22" s="23">
        <f t="shared" si="1"/>
        <v>74.358974358974365</v>
      </c>
    </row>
    <row r="23" spans="1:10" ht="16.5" customHeight="1" x14ac:dyDescent="0.2">
      <c r="A23" s="8">
        <v>21</v>
      </c>
      <c r="B23" s="9" t="s">
        <v>37</v>
      </c>
      <c r="C23" s="8" t="s">
        <v>12</v>
      </c>
      <c r="D23" s="10" t="s">
        <v>13</v>
      </c>
      <c r="E23" s="11" t="s">
        <v>14</v>
      </c>
      <c r="F23" s="12" t="s">
        <v>15</v>
      </c>
      <c r="G23" s="13">
        <v>36</v>
      </c>
      <c r="H23" s="14">
        <v>16</v>
      </c>
      <c r="I23" s="8">
        <f t="shared" si="0"/>
        <v>52</v>
      </c>
      <c r="J23" s="15">
        <f t="shared" si="1"/>
        <v>69.230769230769226</v>
      </c>
    </row>
    <row r="24" spans="1:10" ht="16.5" customHeight="1" x14ac:dyDescent="0.2">
      <c r="A24" s="16">
        <v>22</v>
      </c>
      <c r="B24" s="17" t="s">
        <v>38</v>
      </c>
      <c r="C24" s="16" t="s">
        <v>12</v>
      </c>
      <c r="D24" s="18" t="s">
        <v>13</v>
      </c>
      <c r="E24" s="19" t="s">
        <v>14</v>
      </c>
      <c r="F24" s="20" t="s">
        <v>15</v>
      </c>
      <c r="G24" s="21">
        <v>24</v>
      </c>
      <c r="H24" s="22">
        <v>9</v>
      </c>
      <c r="I24" s="16">
        <f t="shared" si="0"/>
        <v>33</v>
      </c>
      <c r="J24" s="23">
        <f t="shared" si="1"/>
        <v>72.727272727272734</v>
      </c>
    </row>
    <row r="25" spans="1:10" ht="16.5" customHeight="1" x14ac:dyDescent="0.2">
      <c r="A25" s="8">
        <v>23</v>
      </c>
      <c r="B25" s="9" t="s">
        <v>39</v>
      </c>
      <c r="C25" s="8" t="s">
        <v>12</v>
      </c>
      <c r="D25" s="10" t="s">
        <v>13</v>
      </c>
      <c r="E25" s="26" t="s">
        <v>19</v>
      </c>
      <c r="F25" s="12" t="s">
        <v>20</v>
      </c>
      <c r="G25" s="13">
        <v>16</v>
      </c>
      <c r="H25" s="14">
        <v>14</v>
      </c>
      <c r="I25" s="8">
        <f t="shared" si="0"/>
        <v>30</v>
      </c>
      <c r="J25" s="15">
        <f t="shared" si="1"/>
        <v>53.333333333333336</v>
      </c>
    </row>
    <row r="26" spans="1:10" ht="16.5" customHeight="1" x14ac:dyDescent="0.2">
      <c r="A26" s="16">
        <v>24</v>
      </c>
      <c r="B26" s="17" t="s">
        <v>40</v>
      </c>
      <c r="C26" s="16" t="s">
        <v>12</v>
      </c>
      <c r="D26" s="18" t="s">
        <v>13</v>
      </c>
      <c r="E26" s="24" t="s">
        <v>19</v>
      </c>
      <c r="F26" s="20" t="s">
        <v>20</v>
      </c>
      <c r="G26" s="21">
        <v>26</v>
      </c>
      <c r="H26" s="22">
        <v>9</v>
      </c>
      <c r="I26" s="16">
        <f t="shared" si="0"/>
        <v>35</v>
      </c>
      <c r="J26" s="23">
        <f t="shared" si="1"/>
        <v>74.285714285714292</v>
      </c>
    </row>
    <row r="27" spans="1:10" ht="16.5" customHeight="1" x14ac:dyDescent="0.2">
      <c r="A27" s="8">
        <v>25</v>
      </c>
      <c r="B27" s="9" t="s">
        <v>41</v>
      </c>
      <c r="C27" s="8" t="s">
        <v>12</v>
      </c>
      <c r="D27" s="10" t="s">
        <v>13</v>
      </c>
      <c r="E27" s="11" t="s">
        <v>14</v>
      </c>
      <c r="F27" s="12" t="s">
        <v>15</v>
      </c>
      <c r="G27" s="13">
        <v>19</v>
      </c>
      <c r="H27" s="14">
        <v>11</v>
      </c>
      <c r="I27" s="8">
        <f t="shared" si="0"/>
        <v>30</v>
      </c>
      <c r="J27" s="15">
        <f t="shared" si="1"/>
        <v>63.333333333333329</v>
      </c>
    </row>
    <row r="28" spans="1:10" ht="16.5" customHeight="1" x14ac:dyDescent="0.2">
      <c r="A28" s="16">
        <v>26</v>
      </c>
      <c r="B28" s="17" t="s">
        <v>42</v>
      </c>
      <c r="C28" s="16" t="s">
        <v>12</v>
      </c>
      <c r="D28" s="18" t="s">
        <v>13</v>
      </c>
      <c r="E28" s="19" t="s">
        <v>14</v>
      </c>
      <c r="F28" s="20" t="s">
        <v>15</v>
      </c>
      <c r="G28" s="21">
        <v>21</v>
      </c>
      <c r="H28" s="22">
        <v>9</v>
      </c>
      <c r="I28" s="16">
        <f t="shared" si="0"/>
        <v>30</v>
      </c>
      <c r="J28" s="23">
        <f t="shared" si="1"/>
        <v>70</v>
      </c>
    </row>
    <row r="29" spans="1:10" ht="16.5" customHeight="1" x14ac:dyDescent="0.2">
      <c r="A29" s="8">
        <v>27</v>
      </c>
      <c r="B29" s="9" t="s">
        <v>43</v>
      </c>
      <c r="C29" s="8" t="s">
        <v>12</v>
      </c>
      <c r="D29" s="10" t="s">
        <v>13</v>
      </c>
      <c r="E29" s="11" t="s">
        <v>14</v>
      </c>
      <c r="F29" s="12" t="s">
        <v>15</v>
      </c>
      <c r="G29" s="13">
        <v>12</v>
      </c>
      <c r="H29" s="14">
        <v>2</v>
      </c>
      <c r="I29" s="8">
        <f t="shared" si="0"/>
        <v>14</v>
      </c>
      <c r="J29" s="15">
        <f t="shared" si="1"/>
        <v>85.714285714285708</v>
      </c>
    </row>
    <row r="30" spans="1:10" ht="16.5" customHeight="1" x14ac:dyDescent="0.2">
      <c r="A30" s="16">
        <v>28</v>
      </c>
      <c r="B30" s="17" t="s">
        <v>44</v>
      </c>
      <c r="C30" s="16" t="s">
        <v>12</v>
      </c>
      <c r="D30" s="18" t="s">
        <v>13</v>
      </c>
      <c r="E30" s="24" t="s">
        <v>19</v>
      </c>
      <c r="F30" s="25" t="s">
        <v>15</v>
      </c>
      <c r="G30" s="21">
        <v>16</v>
      </c>
      <c r="H30" s="22">
        <v>4</v>
      </c>
      <c r="I30" s="16">
        <f t="shared" si="0"/>
        <v>20</v>
      </c>
      <c r="J30" s="23">
        <f t="shared" si="1"/>
        <v>80</v>
      </c>
    </row>
    <row r="31" spans="1:10" ht="16.5" customHeight="1" x14ac:dyDescent="0.2">
      <c r="A31" s="8">
        <v>29</v>
      </c>
      <c r="B31" s="9" t="s">
        <v>45</v>
      </c>
      <c r="C31" s="8" t="s">
        <v>12</v>
      </c>
      <c r="D31" s="10" t="s">
        <v>13</v>
      </c>
      <c r="E31" s="11" t="s">
        <v>14</v>
      </c>
      <c r="F31" s="12" t="s">
        <v>15</v>
      </c>
      <c r="G31" s="13">
        <v>19</v>
      </c>
      <c r="H31" s="14">
        <v>7</v>
      </c>
      <c r="I31" s="8">
        <f t="shared" si="0"/>
        <v>26</v>
      </c>
      <c r="J31" s="15">
        <f t="shared" si="1"/>
        <v>73.076923076923066</v>
      </c>
    </row>
    <row r="32" spans="1:10" ht="16.5" customHeight="1" x14ac:dyDescent="0.2">
      <c r="A32" s="16">
        <v>30</v>
      </c>
      <c r="B32" s="17" t="s">
        <v>46</v>
      </c>
      <c r="C32" s="16" t="s">
        <v>12</v>
      </c>
      <c r="D32" s="18" t="s">
        <v>13</v>
      </c>
      <c r="E32" s="19" t="s">
        <v>14</v>
      </c>
      <c r="F32" s="20" t="s">
        <v>15</v>
      </c>
      <c r="G32" s="21">
        <v>10</v>
      </c>
      <c r="H32" s="22">
        <v>0</v>
      </c>
      <c r="I32" s="16">
        <f t="shared" si="0"/>
        <v>10</v>
      </c>
      <c r="J32" s="23">
        <f t="shared" si="1"/>
        <v>100</v>
      </c>
    </row>
    <row r="33" spans="1:10" ht="16.5" customHeight="1" x14ac:dyDescent="0.2">
      <c r="A33" s="8">
        <v>31</v>
      </c>
      <c r="B33" s="9" t="s">
        <v>47</v>
      </c>
      <c r="C33" s="8" t="s">
        <v>12</v>
      </c>
      <c r="D33" s="10" t="s">
        <v>13</v>
      </c>
      <c r="E33" s="11" t="s">
        <v>14</v>
      </c>
      <c r="F33" s="12" t="s">
        <v>15</v>
      </c>
      <c r="G33" s="13">
        <v>28</v>
      </c>
      <c r="H33" s="14">
        <v>15</v>
      </c>
      <c r="I33" s="8">
        <f t="shared" si="0"/>
        <v>43</v>
      </c>
      <c r="J33" s="15">
        <f t="shared" si="1"/>
        <v>65.116279069767444</v>
      </c>
    </row>
    <row r="34" spans="1:10" ht="16.5" customHeight="1" x14ac:dyDescent="0.2">
      <c r="A34" s="16">
        <v>32</v>
      </c>
      <c r="B34" s="17" t="s">
        <v>48</v>
      </c>
      <c r="C34" s="16" t="s">
        <v>12</v>
      </c>
      <c r="D34" s="18" t="s">
        <v>13</v>
      </c>
      <c r="E34" s="19" t="s">
        <v>14</v>
      </c>
      <c r="F34" s="20" t="s">
        <v>15</v>
      </c>
      <c r="G34" s="21">
        <v>30</v>
      </c>
      <c r="H34" s="22">
        <v>14</v>
      </c>
      <c r="I34" s="16">
        <f t="shared" si="0"/>
        <v>44</v>
      </c>
      <c r="J34" s="23">
        <f t="shared" si="1"/>
        <v>68.181818181818173</v>
      </c>
    </row>
    <row r="35" spans="1:10" ht="16.5" customHeight="1" x14ac:dyDescent="0.2">
      <c r="A35" s="8">
        <v>33</v>
      </c>
      <c r="B35" s="9" t="s">
        <v>49</v>
      </c>
      <c r="C35" s="8" t="s">
        <v>12</v>
      </c>
      <c r="D35" s="10" t="s">
        <v>13</v>
      </c>
      <c r="E35" s="11" t="s">
        <v>14</v>
      </c>
      <c r="F35" s="12" t="s">
        <v>15</v>
      </c>
      <c r="G35" s="13">
        <v>24</v>
      </c>
      <c r="H35" s="14">
        <v>3</v>
      </c>
      <c r="I35" s="8">
        <f t="shared" ref="I35:I66" si="2">G35+H35</f>
        <v>27</v>
      </c>
      <c r="J35" s="15">
        <f t="shared" ref="J35:J66" si="3">IF(I35&gt;0,G35/I35*100,0)</f>
        <v>88.888888888888886</v>
      </c>
    </row>
    <row r="36" spans="1:10" ht="16.5" customHeight="1" x14ac:dyDescent="0.2">
      <c r="A36" s="16">
        <v>34</v>
      </c>
      <c r="B36" s="17" t="s">
        <v>50</v>
      </c>
      <c r="C36" s="16" t="s">
        <v>12</v>
      </c>
      <c r="D36" s="18" t="s">
        <v>13</v>
      </c>
      <c r="E36" s="19" t="s">
        <v>14</v>
      </c>
      <c r="F36" s="20" t="s">
        <v>15</v>
      </c>
      <c r="G36" s="21">
        <v>35</v>
      </c>
      <c r="H36" s="22">
        <v>11</v>
      </c>
      <c r="I36" s="16">
        <f t="shared" si="2"/>
        <v>46</v>
      </c>
      <c r="J36" s="23">
        <f t="shared" si="3"/>
        <v>76.08695652173914</v>
      </c>
    </row>
    <row r="37" spans="1:10" ht="16.5" customHeight="1" x14ac:dyDescent="0.2">
      <c r="A37" s="8">
        <v>35</v>
      </c>
      <c r="B37" s="9" t="s">
        <v>51</v>
      </c>
      <c r="C37" s="8" t="s">
        <v>52</v>
      </c>
      <c r="D37" s="10" t="s">
        <v>53</v>
      </c>
      <c r="E37" s="11" t="s">
        <v>14</v>
      </c>
      <c r="F37" s="12" t="s">
        <v>15</v>
      </c>
      <c r="G37" s="13">
        <v>31</v>
      </c>
      <c r="H37" s="14">
        <v>8</v>
      </c>
      <c r="I37" s="8">
        <f t="shared" si="2"/>
        <v>39</v>
      </c>
      <c r="J37" s="15">
        <f t="shared" si="3"/>
        <v>79.487179487179489</v>
      </c>
    </row>
    <row r="38" spans="1:10" ht="16.5" customHeight="1" x14ac:dyDescent="0.2">
      <c r="A38" s="16">
        <v>36</v>
      </c>
      <c r="B38" s="17" t="s">
        <v>54</v>
      </c>
      <c r="C38" s="16" t="s">
        <v>12</v>
      </c>
      <c r="D38" s="18" t="s">
        <v>13</v>
      </c>
      <c r="E38" s="19" t="s">
        <v>14</v>
      </c>
      <c r="F38" s="20" t="s">
        <v>15</v>
      </c>
      <c r="G38" s="21">
        <v>28</v>
      </c>
      <c r="H38" s="22">
        <v>9</v>
      </c>
      <c r="I38" s="16">
        <f t="shared" si="2"/>
        <v>37</v>
      </c>
      <c r="J38" s="23">
        <f t="shared" si="3"/>
        <v>75.675675675675677</v>
      </c>
    </row>
    <row r="39" spans="1:10" ht="16.5" customHeight="1" x14ac:dyDescent="0.2">
      <c r="A39" s="8">
        <v>37</v>
      </c>
      <c r="B39" s="9" t="s">
        <v>55</v>
      </c>
      <c r="C39" s="8" t="s">
        <v>12</v>
      </c>
      <c r="D39" s="10" t="s">
        <v>13</v>
      </c>
      <c r="E39" s="11" t="s">
        <v>14</v>
      </c>
      <c r="F39" s="12" t="s">
        <v>15</v>
      </c>
      <c r="G39" s="13">
        <v>23</v>
      </c>
      <c r="H39" s="14">
        <v>8</v>
      </c>
      <c r="I39" s="8">
        <f t="shared" si="2"/>
        <v>31</v>
      </c>
      <c r="J39" s="15">
        <f t="shared" si="3"/>
        <v>74.193548387096769</v>
      </c>
    </row>
    <row r="40" spans="1:10" ht="16.5" customHeight="1" x14ac:dyDescent="0.2">
      <c r="A40" s="16">
        <v>38</v>
      </c>
      <c r="B40" s="17" t="s">
        <v>56</v>
      </c>
      <c r="C40" s="16" t="s">
        <v>12</v>
      </c>
      <c r="D40" s="18" t="s">
        <v>13</v>
      </c>
      <c r="E40" s="24" t="s">
        <v>19</v>
      </c>
      <c r="F40" s="25" t="s">
        <v>15</v>
      </c>
      <c r="G40" s="21">
        <v>21</v>
      </c>
      <c r="H40" s="22">
        <v>5</v>
      </c>
      <c r="I40" s="16">
        <f t="shared" si="2"/>
        <v>26</v>
      </c>
      <c r="J40" s="23">
        <f t="shared" si="3"/>
        <v>80.769230769230774</v>
      </c>
    </row>
    <row r="41" spans="1:10" ht="16.5" customHeight="1" x14ac:dyDescent="0.2">
      <c r="A41" s="8">
        <v>39</v>
      </c>
      <c r="B41" s="9" t="s">
        <v>57</v>
      </c>
      <c r="C41" s="8" t="s">
        <v>58</v>
      </c>
      <c r="D41" s="10" t="s">
        <v>13</v>
      </c>
      <c r="E41" s="26" t="s">
        <v>19</v>
      </c>
      <c r="F41" s="27" t="s">
        <v>15</v>
      </c>
      <c r="G41" s="13">
        <v>17</v>
      </c>
      <c r="H41" s="14">
        <v>9</v>
      </c>
      <c r="I41" s="8">
        <f t="shared" si="2"/>
        <v>26</v>
      </c>
      <c r="J41" s="15">
        <f t="shared" si="3"/>
        <v>65.384615384615387</v>
      </c>
    </row>
    <row r="42" spans="1:10" ht="16.5" customHeight="1" x14ac:dyDescent="0.2">
      <c r="A42" s="16">
        <v>40</v>
      </c>
      <c r="B42" s="17" t="s">
        <v>59</v>
      </c>
      <c r="C42" s="16" t="s">
        <v>12</v>
      </c>
      <c r="D42" s="18" t="s">
        <v>13</v>
      </c>
      <c r="E42" s="19" t="s">
        <v>14</v>
      </c>
      <c r="F42" s="20" t="s">
        <v>15</v>
      </c>
      <c r="G42" s="21">
        <v>30</v>
      </c>
      <c r="H42" s="22">
        <v>14</v>
      </c>
      <c r="I42" s="16">
        <f t="shared" si="2"/>
        <v>44</v>
      </c>
      <c r="J42" s="23">
        <f t="shared" si="3"/>
        <v>68.181818181818173</v>
      </c>
    </row>
    <row r="43" spans="1:10" ht="16.5" customHeight="1" x14ac:dyDescent="0.2">
      <c r="A43" s="8">
        <v>41</v>
      </c>
      <c r="B43" s="9" t="s">
        <v>60</v>
      </c>
      <c r="C43" s="8" t="s">
        <v>12</v>
      </c>
      <c r="D43" s="10" t="s">
        <v>13</v>
      </c>
      <c r="E43" s="11" t="s">
        <v>14</v>
      </c>
      <c r="F43" s="12" t="s">
        <v>15</v>
      </c>
      <c r="G43" s="13">
        <v>36</v>
      </c>
      <c r="H43" s="14">
        <v>17</v>
      </c>
      <c r="I43" s="8">
        <f t="shared" si="2"/>
        <v>53</v>
      </c>
      <c r="J43" s="15">
        <f t="shared" si="3"/>
        <v>67.924528301886795</v>
      </c>
    </row>
    <row r="44" spans="1:10" ht="16.5" customHeight="1" x14ac:dyDescent="0.2">
      <c r="A44" s="16">
        <v>42</v>
      </c>
      <c r="B44" s="17" t="s">
        <v>61</v>
      </c>
      <c r="C44" s="16" t="s">
        <v>12</v>
      </c>
      <c r="D44" s="18" t="s">
        <v>13</v>
      </c>
      <c r="E44" s="19" t="s">
        <v>14</v>
      </c>
      <c r="F44" s="20" t="s">
        <v>15</v>
      </c>
      <c r="G44" s="21">
        <v>36</v>
      </c>
      <c r="H44" s="22">
        <v>22</v>
      </c>
      <c r="I44" s="16">
        <f t="shared" si="2"/>
        <v>58</v>
      </c>
      <c r="J44" s="23">
        <f t="shared" si="3"/>
        <v>62.068965517241381</v>
      </c>
    </row>
    <row r="45" spans="1:10" ht="16.5" customHeight="1" x14ac:dyDescent="0.2">
      <c r="A45" s="8">
        <v>43</v>
      </c>
      <c r="B45" s="9" t="s">
        <v>62</v>
      </c>
      <c r="C45" s="8" t="s">
        <v>12</v>
      </c>
      <c r="D45" s="10" t="s">
        <v>13</v>
      </c>
      <c r="E45" s="11" t="s">
        <v>14</v>
      </c>
      <c r="F45" s="12" t="s">
        <v>15</v>
      </c>
      <c r="G45" s="13">
        <v>27</v>
      </c>
      <c r="H45" s="14">
        <v>10</v>
      </c>
      <c r="I45" s="8">
        <f t="shared" si="2"/>
        <v>37</v>
      </c>
      <c r="J45" s="15">
        <f t="shared" si="3"/>
        <v>72.972972972972968</v>
      </c>
    </row>
    <row r="46" spans="1:10" ht="16.5" customHeight="1" x14ac:dyDescent="0.2">
      <c r="A46" s="16">
        <v>44</v>
      </c>
      <c r="B46" s="17" t="s">
        <v>63</v>
      </c>
      <c r="C46" s="16" t="s">
        <v>12</v>
      </c>
      <c r="D46" s="18" t="s">
        <v>13</v>
      </c>
      <c r="E46" s="19" t="s">
        <v>14</v>
      </c>
      <c r="F46" s="20" t="s">
        <v>15</v>
      </c>
      <c r="G46" s="21">
        <v>17</v>
      </c>
      <c r="H46" s="22">
        <v>4</v>
      </c>
      <c r="I46" s="16">
        <f t="shared" si="2"/>
        <v>21</v>
      </c>
      <c r="J46" s="23">
        <f t="shared" si="3"/>
        <v>80.952380952380949</v>
      </c>
    </row>
    <row r="47" spans="1:10" ht="16.5" customHeight="1" x14ac:dyDescent="0.2">
      <c r="A47" s="8">
        <v>45</v>
      </c>
      <c r="B47" s="9" t="s">
        <v>64</v>
      </c>
      <c r="C47" s="8" t="s">
        <v>12</v>
      </c>
      <c r="D47" s="10" t="s">
        <v>13</v>
      </c>
      <c r="E47" s="11" t="s">
        <v>14</v>
      </c>
      <c r="F47" s="12" t="s">
        <v>15</v>
      </c>
      <c r="G47" s="13">
        <v>36</v>
      </c>
      <c r="H47" s="14">
        <v>16</v>
      </c>
      <c r="I47" s="8">
        <f t="shared" si="2"/>
        <v>52</v>
      </c>
      <c r="J47" s="15">
        <f t="shared" si="3"/>
        <v>69.230769230769226</v>
      </c>
    </row>
    <row r="48" spans="1:10" ht="16.5" customHeight="1" x14ac:dyDescent="0.2">
      <c r="A48" s="16">
        <v>46</v>
      </c>
      <c r="B48" s="17" t="s">
        <v>65</v>
      </c>
      <c r="C48" s="16" t="s">
        <v>52</v>
      </c>
      <c r="D48" s="18" t="s">
        <v>53</v>
      </c>
      <c r="E48" s="19" t="s">
        <v>14</v>
      </c>
      <c r="F48" s="20" t="s">
        <v>15</v>
      </c>
      <c r="G48" s="21">
        <v>34</v>
      </c>
      <c r="H48" s="22">
        <v>11</v>
      </c>
      <c r="I48" s="16">
        <f t="shared" si="2"/>
        <v>45</v>
      </c>
      <c r="J48" s="23">
        <f t="shared" si="3"/>
        <v>75.555555555555557</v>
      </c>
    </row>
    <row r="49" spans="1:10" ht="16.5" customHeight="1" x14ac:dyDescent="0.2">
      <c r="A49" s="8">
        <v>47</v>
      </c>
      <c r="B49" s="9" t="s">
        <v>66</v>
      </c>
      <c r="C49" s="8" t="s">
        <v>52</v>
      </c>
      <c r="D49" s="10" t="s">
        <v>53</v>
      </c>
      <c r="E49" s="11" t="s">
        <v>14</v>
      </c>
      <c r="F49" s="12" t="s">
        <v>15</v>
      </c>
      <c r="G49" s="13">
        <v>34</v>
      </c>
      <c r="H49" s="14">
        <v>9</v>
      </c>
      <c r="I49" s="8">
        <f t="shared" si="2"/>
        <v>43</v>
      </c>
      <c r="J49" s="15">
        <f t="shared" si="3"/>
        <v>79.069767441860463</v>
      </c>
    </row>
    <row r="50" spans="1:10" ht="16.5" customHeight="1" x14ac:dyDescent="0.2">
      <c r="A50" s="16">
        <v>48</v>
      </c>
      <c r="B50" s="17" t="s">
        <v>67</v>
      </c>
      <c r="C50" s="16" t="s">
        <v>52</v>
      </c>
      <c r="D50" s="18" t="s">
        <v>53</v>
      </c>
      <c r="E50" s="19" t="s">
        <v>14</v>
      </c>
      <c r="F50" s="20" t="s">
        <v>15</v>
      </c>
      <c r="G50" s="21">
        <v>21</v>
      </c>
      <c r="H50" s="22">
        <v>5</v>
      </c>
      <c r="I50" s="16">
        <f t="shared" si="2"/>
        <v>26</v>
      </c>
      <c r="J50" s="23">
        <f t="shared" si="3"/>
        <v>80.769230769230774</v>
      </c>
    </row>
    <row r="51" spans="1:10" ht="16.5" customHeight="1" x14ac:dyDescent="0.2">
      <c r="A51" s="8">
        <v>49</v>
      </c>
      <c r="B51" s="9" t="s">
        <v>68</v>
      </c>
      <c r="C51" s="8" t="s">
        <v>52</v>
      </c>
      <c r="D51" s="10" t="s">
        <v>53</v>
      </c>
      <c r="E51" s="11" t="s">
        <v>14</v>
      </c>
      <c r="F51" s="12" t="s">
        <v>15</v>
      </c>
      <c r="G51" s="13">
        <v>26</v>
      </c>
      <c r="H51" s="14">
        <v>2</v>
      </c>
      <c r="I51" s="8">
        <f t="shared" si="2"/>
        <v>28</v>
      </c>
      <c r="J51" s="15">
        <f t="shared" si="3"/>
        <v>92.857142857142861</v>
      </c>
    </row>
    <row r="52" spans="1:10" ht="16.5" customHeight="1" x14ac:dyDescent="0.2">
      <c r="A52" s="16">
        <v>50</v>
      </c>
      <c r="B52" s="17" t="s">
        <v>69</v>
      </c>
      <c r="C52" s="16" t="s">
        <v>52</v>
      </c>
      <c r="D52" s="18" t="s">
        <v>53</v>
      </c>
      <c r="E52" s="24" t="s">
        <v>19</v>
      </c>
      <c r="F52" s="20" t="s">
        <v>20</v>
      </c>
      <c r="G52" s="21">
        <v>35</v>
      </c>
      <c r="H52" s="22">
        <v>13</v>
      </c>
      <c r="I52" s="16">
        <f t="shared" si="2"/>
        <v>48</v>
      </c>
      <c r="J52" s="23">
        <f t="shared" si="3"/>
        <v>72.916666666666657</v>
      </c>
    </row>
    <row r="53" spans="1:10" ht="16.5" customHeight="1" x14ac:dyDescent="0.2">
      <c r="A53" s="8">
        <v>51</v>
      </c>
      <c r="B53" s="9" t="s">
        <v>70</v>
      </c>
      <c r="C53" s="8" t="s">
        <v>52</v>
      </c>
      <c r="D53" s="10" t="s">
        <v>53</v>
      </c>
      <c r="E53" s="26" t="s">
        <v>19</v>
      </c>
      <c r="F53" s="12" t="s">
        <v>20</v>
      </c>
      <c r="G53" s="13">
        <v>26</v>
      </c>
      <c r="H53" s="14">
        <v>9</v>
      </c>
      <c r="I53" s="8">
        <f t="shared" si="2"/>
        <v>35</v>
      </c>
      <c r="J53" s="15">
        <f t="shared" si="3"/>
        <v>74.285714285714292</v>
      </c>
    </row>
    <row r="54" spans="1:10" ht="16.5" customHeight="1" x14ac:dyDescent="0.2">
      <c r="A54" s="16">
        <v>52</v>
      </c>
      <c r="B54" s="17" t="s">
        <v>71</v>
      </c>
      <c r="C54" s="16" t="s">
        <v>52</v>
      </c>
      <c r="D54" s="18" t="s">
        <v>53</v>
      </c>
      <c r="E54" s="19" t="s">
        <v>14</v>
      </c>
      <c r="F54" s="20" t="s">
        <v>15</v>
      </c>
      <c r="G54" s="21">
        <v>24</v>
      </c>
      <c r="H54" s="22">
        <v>10</v>
      </c>
      <c r="I54" s="16">
        <f t="shared" si="2"/>
        <v>34</v>
      </c>
      <c r="J54" s="23">
        <f t="shared" si="3"/>
        <v>70.588235294117652</v>
      </c>
    </row>
    <row r="55" spans="1:10" ht="16.5" customHeight="1" x14ac:dyDescent="0.2">
      <c r="A55" s="8">
        <v>53</v>
      </c>
      <c r="B55" s="9" t="s">
        <v>72</v>
      </c>
      <c r="C55" s="8" t="s">
        <v>52</v>
      </c>
      <c r="D55" s="10" t="s">
        <v>53</v>
      </c>
      <c r="E55" s="11" t="s">
        <v>14</v>
      </c>
      <c r="F55" s="12" t="s">
        <v>15</v>
      </c>
      <c r="G55" s="13">
        <v>21</v>
      </c>
      <c r="H55" s="14">
        <v>9</v>
      </c>
      <c r="I55" s="8">
        <f t="shared" si="2"/>
        <v>30</v>
      </c>
      <c r="J55" s="15">
        <f t="shared" si="3"/>
        <v>70</v>
      </c>
    </row>
    <row r="56" spans="1:10" ht="16.5" customHeight="1" x14ac:dyDescent="0.2">
      <c r="A56" s="16">
        <v>54</v>
      </c>
      <c r="B56" s="17" t="s">
        <v>73</v>
      </c>
      <c r="C56" s="16" t="s">
        <v>52</v>
      </c>
      <c r="D56" s="18" t="s">
        <v>53</v>
      </c>
      <c r="E56" s="19" t="s">
        <v>14</v>
      </c>
      <c r="F56" s="20" t="s">
        <v>15</v>
      </c>
      <c r="G56" s="21">
        <v>22</v>
      </c>
      <c r="H56" s="22">
        <v>4</v>
      </c>
      <c r="I56" s="16">
        <f t="shared" si="2"/>
        <v>26</v>
      </c>
      <c r="J56" s="23">
        <f t="shared" si="3"/>
        <v>84.615384615384613</v>
      </c>
    </row>
    <row r="57" spans="1:10" ht="16.5" customHeight="1" x14ac:dyDescent="0.2">
      <c r="A57" s="8">
        <v>55</v>
      </c>
      <c r="B57" s="9" t="s">
        <v>74</v>
      </c>
      <c r="C57" s="8" t="s">
        <v>52</v>
      </c>
      <c r="D57" s="10" t="s">
        <v>53</v>
      </c>
      <c r="E57" s="11" t="s">
        <v>14</v>
      </c>
      <c r="F57" s="12" t="s">
        <v>15</v>
      </c>
      <c r="G57" s="13">
        <v>10</v>
      </c>
      <c r="H57" s="14">
        <v>2</v>
      </c>
      <c r="I57" s="8">
        <f t="shared" si="2"/>
        <v>12</v>
      </c>
      <c r="J57" s="15">
        <f t="shared" si="3"/>
        <v>83.333333333333343</v>
      </c>
    </row>
    <row r="58" spans="1:10" ht="16.5" customHeight="1" x14ac:dyDescent="0.2">
      <c r="A58" s="16">
        <v>56</v>
      </c>
      <c r="B58" s="17" t="s">
        <v>75</v>
      </c>
      <c r="C58" s="16" t="s">
        <v>52</v>
      </c>
      <c r="D58" s="18" t="s">
        <v>53</v>
      </c>
      <c r="E58" s="19" t="s">
        <v>14</v>
      </c>
      <c r="F58" s="20" t="s">
        <v>15</v>
      </c>
      <c r="G58" s="21">
        <v>29</v>
      </c>
      <c r="H58" s="22">
        <v>10</v>
      </c>
      <c r="I58" s="16">
        <f t="shared" si="2"/>
        <v>39</v>
      </c>
      <c r="J58" s="23">
        <f t="shared" si="3"/>
        <v>74.358974358974365</v>
      </c>
    </row>
    <row r="59" spans="1:10" ht="16.5" customHeight="1" x14ac:dyDescent="0.2">
      <c r="A59" s="8">
        <v>57</v>
      </c>
      <c r="B59" s="9" t="s">
        <v>76</v>
      </c>
      <c r="C59" s="8" t="s">
        <v>52</v>
      </c>
      <c r="D59" s="10" t="s">
        <v>53</v>
      </c>
      <c r="E59" s="11" t="s">
        <v>14</v>
      </c>
      <c r="F59" s="12" t="s">
        <v>15</v>
      </c>
      <c r="G59" s="13">
        <v>22</v>
      </c>
      <c r="H59" s="14">
        <v>12</v>
      </c>
      <c r="I59" s="8">
        <f t="shared" si="2"/>
        <v>34</v>
      </c>
      <c r="J59" s="15">
        <f t="shared" si="3"/>
        <v>64.705882352941174</v>
      </c>
    </row>
    <row r="60" spans="1:10" ht="16.5" customHeight="1" x14ac:dyDescent="0.2">
      <c r="A60" s="16">
        <v>58</v>
      </c>
      <c r="B60" s="17" t="s">
        <v>77</v>
      </c>
      <c r="C60" s="16" t="s">
        <v>52</v>
      </c>
      <c r="D60" s="18" t="s">
        <v>53</v>
      </c>
      <c r="E60" s="19" t="s">
        <v>14</v>
      </c>
      <c r="F60" s="20" t="s">
        <v>15</v>
      </c>
      <c r="G60" s="21">
        <v>33</v>
      </c>
      <c r="H60" s="22">
        <v>8</v>
      </c>
      <c r="I60" s="16">
        <f t="shared" si="2"/>
        <v>41</v>
      </c>
      <c r="J60" s="23">
        <f t="shared" si="3"/>
        <v>80.487804878048792</v>
      </c>
    </row>
    <row r="61" spans="1:10" ht="16.5" customHeight="1" x14ac:dyDescent="0.2">
      <c r="A61" s="8">
        <v>59</v>
      </c>
      <c r="B61" s="9" t="s">
        <v>78</v>
      </c>
      <c r="C61" s="8" t="s">
        <v>52</v>
      </c>
      <c r="D61" s="10" t="s">
        <v>53</v>
      </c>
      <c r="E61" s="11" t="s">
        <v>14</v>
      </c>
      <c r="F61" s="12" t="s">
        <v>15</v>
      </c>
      <c r="G61" s="13">
        <v>27</v>
      </c>
      <c r="H61" s="14">
        <v>13</v>
      </c>
      <c r="I61" s="8">
        <f t="shared" si="2"/>
        <v>40</v>
      </c>
      <c r="J61" s="15">
        <f t="shared" si="3"/>
        <v>67.5</v>
      </c>
    </row>
    <row r="62" spans="1:10" ht="16.5" customHeight="1" x14ac:dyDescent="0.2">
      <c r="A62" s="16">
        <v>60</v>
      </c>
      <c r="B62" s="17" t="s">
        <v>79</v>
      </c>
      <c r="C62" s="16" t="s">
        <v>52</v>
      </c>
      <c r="D62" s="18" t="s">
        <v>53</v>
      </c>
      <c r="E62" s="19" t="s">
        <v>14</v>
      </c>
      <c r="F62" s="20" t="s">
        <v>15</v>
      </c>
      <c r="G62" s="21">
        <v>30</v>
      </c>
      <c r="H62" s="22">
        <v>14</v>
      </c>
      <c r="I62" s="16">
        <f t="shared" si="2"/>
        <v>44</v>
      </c>
      <c r="J62" s="23">
        <f t="shared" si="3"/>
        <v>68.181818181818173</v>
      </c>
    </row>
    <row r="63" spans="1:10" ht="16.5" customHeight="1" x14ac:dyDescent="0.2">
      <c r="A63" s="8">
        <v>61</v>
      </c>
      <c r="B63" s="9" t="s">
        <v>80</v>
      </c>
      <c r="C63" s="8" t="s">
        <v>81</v>
      </c>
      <c r="D63" s="10" t="s">
        <v>53</v>
      </c>
      <c r="E63" s="11" t="s">
        <v>14</v>
      </c>
      <c r="F63" s="12" t="s">
        <v>15</v>
      </c>
      <c r="G63" s="13">
        <v>22</v>
      </c>
      <c r="H63" s="14">
        <v>8</v>
      </c>
      <c r="I63" s="8">
        <f t="shared" si="2"/>
        <v>30</v>
      </c>
      <c r="J63" s="15">
        <f t="shared" si="3"/>
        <v>73.333333333333329</v>
      </c>
    </row>
    <row r="64" spans="1:10" ht="16.5" customHeight="1" x14ac:dyDescent="0.2">
      <c r="A64" s="16">
        <v>62</v>
      </c>
      <c r="B64" s="17" t="s">
        <v>82</v>
      </c>
      <c r="C64" s="16" t="s">
        <v>83</v>
      </c>
      <c r="D64" s="18" t="s">
        <v>13</v>
      </c>
      <c r="E64" s="19" t="s">
        <v>14</v>
      </c>
      <c r="F64" s="20" t="s">
        <v>15</v>
      </c>
      <c r="G64" s="21">
        <v>22</v>
      </c>
      <c r="H64" s="22">
        <v>6</v>
      </c>
      <c r="I64" s="16">
        <f t="shared" si="2"/>
        <v>28</v>
      </c>
      <c r="J64" s="23">
        <f t="shared" si="3"/>
        <v>78.571428571428569</v>
      </c>
    </row>
    <row r="65" spans="1:10" ht="16.5" customHeight="1" x14ac:dyDescent="0.2">
      <c r="A65" s="8">
        <v>63</v>
      </c>
      <c r="B65" s="9" t="s">
        <v>84</v>
      </c>
      <c r="C65" s="8" t="s">
        <v>83</v>
      </c>
      <c r="D65" s="10" t="s">
        <v>13</v>
      </c>
      <c r="E65" s="26" t="s">
        <v>19</v>
      </c>
      <c r="F65" s="27" t="s">
        <v>15</v>
      </c>
      <c r="G65" s="13">
        <v>15</v>
      </c>
      <c r="H65" s="14">
        <v>4</v>
      </c>
      <c r="I65" s="8">
        <f t="shared" si="2"/>
        <v>19</v>
      </c>
      <c r="J65" s="15">
        <f t="shared" si="3"/>
        <v>78.94736842105263</v>
      </c>
    </row>
    <row r="66" spans="1:10" ht="16.5" customHeight="1" x14ac:dyDescent="0.2">
      <c r="A66" s="16">
        <v>64</v>
      </c>
      <c r="B66" s="17" t="s">
        <v>85</v>
      </c>
      <c r="C66" s="16" t="s">
        <v>83</v>
      </c>
      <c r="D66" s="18" t="s">
        <v>13</v>
      </c>
      <c r="E66" s="24" t="s">
        <v>19</v>
      </c>
      <c r="F66" s="20" t="s">
        <v>20</v>
      </c>
      <c r="G66" s="21">
        <v>16</v>
      </c>
      <c r="H66" s="22">
        <v>3</v>
      </c>
      <c r="I66" s="16">
        <f t="shared" si="2"/>
        <v>19</v>
      </c>
      <c r="J66" s="23">
        <f t="shared" si="3"/>
        <v>84.210526315789465</v>
      </c>
    </row>
    <row r="67" spans="1:10" ht="16.5" customHeight="1" x14ac:dyDescent="0.2">
      <c r="A67" s="8">
        <v>65</v>
      </c>
      <c r="B67" s="9" t="s">
        <v>86</v>
      </c>
      <c r="C67" s="8" t="s">
        <v>83</v>
      </c>
      <c r="D67" s="10" t="s">
        <v>13</v>
      </c>
      <c r="E67" s="11" t="s">
        <v>14</v>
      </c>
      <c r="F67" s="12" t="s">
        <v>15</v>
      </c>
      <c r="G67" s="13">
        <v>14</v>
      </c>
      <c r="H67" s="14">
        <v>3</v>
      </c>
      <c r="I67" s="8">
        <f t="shared" ref="I67:I98" si="4">G67+H67</f>
        <v>17</v>
      </c>
      <c r="J67" s="15">
        <f t="shared" ref="J67:J98" si="5">IF(I67&gt;0,G67/I67*100,0)</f>
        <v>82.35294117647058</v>
      </c>
    </row>
    <row r="68" spans="1:10" ht="16.5" customHeight="1" x14ac:dyDescent="0.2">
      <c r="A68" s="16">
        <v>66</v>
      </c>
      <c r="B68" s="17" t="s">
        <v>87</v>
      </c>
      <c r="C68" s="16" t="s">
        <v>88</v>
      </c>
      <c r="D68" s="18" t="s">
        <v>89</v>
      </c>
      <c r="E68" s="19" t="s">
        <v>14</v>
      </c>
      <c r="F68" s="20" t="s">
        <v>15</v>
      </c>
      <c r="G68" s="21">
        <v>29</v>
      </c>
      <c r="H68" s="22">
        <v>0</v>
      </c>
      <c r="I68" s="16">
        <f t="shared" si="4"/>
        <v>29</v>
      </c>
      <c r="J68" s="23">
        <f t="shared" si="5"/>
        <v>100</v>
      </c>
    </row>
    <row r="69" spans="1:10" ht="16.5" customHeight="1" x14ac:dyDescent="0.2">
      <c r="A69" s="8">
        <v>67</v>
      </c>
      <c r="B69" s="9" t="s">
        <v>90</v>
      </c>
      <c r="C69" s="8" t="s">
        <v>88</v>
      </c>
      <c r="D69" s="10" t="s">
        <v>89</v>
      </c>
      <c r="E69" s="11" t="s">
        <v>14</v>
      </c>
      <c r="F69" s="12" t="s">
        <v>15</v>
      </c>
      <c r="G69" s="13">
        <v>25</v>
      </c>
      <c r="H69" s="14">
        <v>1</v>
      </c>
      <c r="I69" s="8">
        <f t="shared" si="4"/>
        <v>26</v>
      </c>
      <c r="J69" s="15">
        <f t="shared" si="5"/>
        <v>96.15384615384616</v>
      </c>
    </row>
    <row r="70" spans="1:10" ht="16.5" customHeight="1" x14ac:dyDescent="0.2">
      <c r="A70" s="16">
        <v>68</v>
      </c>
      <c r="B70" s="17" t="s">
        <v>91</v>
      </c>
      <c r="C70" s="16" t="s">
        <v>88</v>
      </c>
      <c r="D70" s="18" t="s">
        <v>89</v>
      </c>
      <c r="E70" s="19" t="s">
        <v>14</v>
      </c>
      <c r="F70" s="20" t="s">
        <v>15</v>
      </c>
      <c r="G70" s="21">
        <v>16</v>
      </c>
      <c r="H70" s="22">
        <v>4</v>
      </c>
      <c r="I70" s="16">
        <f t="shared" si="4"/>
        <v>20</v>
      </c>
      <c r="J70" s="23">
        <f t="shared" si="5"/>
        <v>80</v>
      </c>
    </row>
    <row r="71" spans="1:10" ht="16.5" customHeight="1" x14ac:dyDescent="0.2">
      <c r="A71" s="8">
        <v>69</v>
      </c>
      <c r="B71" s="9" t="s">
        <v>92</v>
      </c>
      <c r="C71" s="8" t="s">
        <v>88</v>
      </c>
      <c r="D71" s="10" t="s">
        <v>89</v>
      </c>
      <c r="E71" s="11" t="s">
        <v>14</v>
      </c>
      <c r="F71" s="12" t="s">
        <v>15</v>
      </c>
      <c r="G71" s="13">
        <v>18</v>
      </c>
      <c r="H71" s="14">
        <v>1</v>
      </c>
      <c r="I71" s="8">
        <f t="shared" si="4"/>
        <v>19</v>
      </c>
      <c r="J71" s="15">
        <f t="shared" si="5"/>
        <v>94.73684210526315</v>
      </c>
    </row>
    <row r="72" spans="1:10" ht="16.5" customHeight="1" x14ac:dyDescent="0.2">
      <c r="A72" s="16">
        <v>70</v>
      </c>
      <c r="B72" s="17" t="s">
        <v>93</v>
      </c>
      <c r="C72" s="16" t="s">
        <v>88</v>
      </c>
      <c r="D72" s="18" t="s">
        <v>89</v>
      </c>
      <c r="E72" s="24" t="s">
        <v>19</v>
      </c>
      <c r="F72" s="20" t="s">
        <v>20</v>
      </c>
      <c r="G72" s="21">
        <v>18</v>
      </c>
      <c r="H72" s="22">
        <v>1</v>
      </c>
      <c r="I72" s="16">
        <f t="shared" si="4"/>
        <v>19</v>
      </c>
      <c r="J72" s="23">
        <f t="shared" si="5"/>
        <v>94.73684210526315</v>
      </c>
    </row>
    <row r="73" spans="1:10" ht="16.5" customHeight="1" x14ac:dyDescent="0.2">
      <c r="A73" s="8">
        <v>71</v>
      </c>
      <c r="B73" s="9" t="s">
        <v>94</v>
      </c>
      <c r="C73" s="8" t="s">
        <v>88</v>
      </c>
      <c r="D73" s="10" t="s">
        <v>89</v>
      </c>
      <c r="E73" s="26" t="s">
        <v>19</v>
      </c>
      <c r="F73" s="12" t="s">
        <v>20</v>
      </c>
      <c r="G73" s="13">
        <v>40</v>
      </c>
      <c r="H73" s="14">
        <v>6</v>
      </c>
      <c r="I73" s="8">
        <f t="shared" si="4"/>
        <v>46</v>
      </c>
      <c r="J73" s="15">
        <f t="shared" si="5"/>
        <v>86.956521739130437</v>
      </c>
    </row>
    <row r="74" spans="1:10" ht="16.5" customHeight="1" x14ac:dyDescent="0.2">
      <c r="A74" s="16">
        <v>72</v>
      </c>
      <c r="B74" s="17" t="s">
        <v>95</v>
      </c>
      <c r="C74" s="16" t="s">
        <v>88</v>
      </c>
      <c r="D74" s="18" t="s">
        <v>89</v>
      </c>
      <c r="E74" s="19" t="s">
        <v>14</v>
      </c>
      <c r="F74" s="20" t="s">
        <v>15</v>
      </c>
      <c r="G74" s="21">
        <v>59</v>
      </c>
      <c r="H74" s="22">
        <v>16</v>
      </c>
      <c r="I74" s="16">
        <f t="shared" si="4"/>
        <v>75</v>
      </c>
      <c r="J74" s="23">
        <f t="shared" si="5"/>
        <v>78.666666666666657</v>
      </c>
    </row>
    <row r="75" spans="1:10" ht="16.5" customHeight="1" x14ac:dyDescent="0.2">
      <c r="A75" s="8">
        <v>73</v>
      </c>
      <c r="B75" s="9" t="s">
        <v>96</v>
      </c>
      <c r="C75" s="8" t="s">
        <v>97</v>
      </c>
      <c r="D75" s="10" t="s">
        <v>89</v>
      </c>
      <c r="E75" s="26" t="s">
        <v>19</v>
      </c>
      <c r="F75" s="12" t="s">
        <v>20</v>
      </c>
      <c r="G75" s="13">
        <v>29</v>
      </c>
      <c r="H75" s="14">
        <v>4</v>
      </c>
      <c r="I75" s="8">
        <f t="shared" si="4"/>
        <v>33</v>
      </c>
      <c r="J75" s="15">
        <f t="shared" si="5"/>
        <v>87.878787878787875</v>
      </c>
    </row>
    <row r="76" spans="1:10" ht="16.5" customHeight="1" x14ac:dyDescent="0.2">
      <c r="A76" s="16">
        <v>74</v>
      </c>
      <c r="B76" s="17" t="s">
        <v>98</v>
      </c>
      <c r="C76" s="16" t="s">
        <v>99</v>
      </c>
      <c r="D76" s="18" t="s">
        <v>89</v>
      </c>
      <c r="E76" s="19" t="s">
        <v>14</v>
      </c>
      <c r="F76" s="20" t="s">
        <v>15</v>
      </c>
      <c r="G76" s="21">
        <v>16</v>
      </c>
      <c r="H76" s="22">
        <v>5</v>
      </c>
      <c r="I76" s="16">
        <f t="shared" si="4"/>
        <v>21</v>
      </c>
      <c r="J76" s="23">
        <f t="shared" si="5"/>
        <v>76.19047619047619</v>
      </c>
    </row>
    <row r="77" spans="1:10" ht="16.5" customHeight="1" x14ac:dyDescent="0.2">
      <c r="A77" s="8">
        <v>75</v>
      </c>
      <c r="B77" s="9" t="s">
        <v>100</v>
      </c>
      <c r="C77" s="8" t="s">
        <v>99</v>
      </c>
      <c r="D77" s="10" t="s">
        <v>89</v>
      </c>
      <c r="E77" s="11" t="s">
        <v>14</v>
      </c>
      <c r="F77" s="12" t="s">
        <v>15</v>
      </c>
      <c r="G77" s="13">
        <v>28</v>
      </c>
      <c r="H77" s="14">
        <v>10</v>
      </c>
      <c r="I77" s="8">
        <f t="shared" si="4"/>
        <v>38</v>
      </c>
      <c r="J77" s="15">
        <f t="shared" si="5"/>
        <v>73.68421052631578</v>
      </c>
    </row>
    <row r="78" spans="1:10" ht="16.5" customHeight="1" x14ac:dyDescent="0.2">
      <c r="A78" s="16">
        <v>76</v>
      </c>
      <c r="B78" s="17" t="s">
        <v>101</v>
      </c>
      <c r="C78" s="16" t="s">
        <v>99</v>
      </c>
      <c r="D78" s="18" t="s">
        <v>89</v>
      </c>
      <c r="E78" s="19" t="s">
        <v>14</v>
      </c>
      <c r="F78" s="20" t="s">
        <v>15</v>
      </c>
      <c r="G78" s="21">
        <v>22</v>
      </c>
      <c r="H78" s="22">
        <v>1</v>
      </c>
      <c r="I78" s="16">
        <f t="shared" si="4"/>
        <v>23</v>
      </c>
      <c r="J78" s="23">
        <f t="shared" si="5"/>
        <v>95.652173913043484</v>
      </c>
    </row>
    <row r="79" spans="1:10" ht="16.5" customHeight="1" x14ac:dyDescent="0.2">
      <c r="A79" s="8">
        <v>77</v>
      </c>
      <c r="B79" s="9" t="s">
        <v>102</v>
      </c>
      <c r="C79" s="8" t="s">
        <v>103</v>
      </c>
      <c r="D79" s="10" t="s">
        <v>89</v>
      </c>
      <c r="E79" s="11" t="s">
        <v>14</v>
      </c>
      <c r="F79" s="12" t="s">
        <v>15</v>
      </c>
      <c r="G79" s="13">
        <v>34</v>
      </c>
      <c r="H79" s="14">
        <v>22</v>
      </c>
      <c r="I79" s="8">
        <f t="shared" si="4"/>
        <v>56</v>
      </c>
      <c r="J79" s="15">
        <f t="shared" si="5"/>
        <v>60.714285714285708</v>
      </c>
    </row>
    <row r="80" spans="1:10" ht="16.5" customHeight="1" x14ac:dyDescent="0.2">
      <c r="A80" s="16">
        <v>78</v>
      </c>
      <c r="B80" s="17" t="s">
        <v>104</v>
      </c>
      <c r="C80" s="16" t="s">
        <v>105</v>
      </c>
      <c r="D80" s="18" t="s">
        <v>89</v>
      </c>
      <c r="E80" s="24" t="s">
        <v>19</v>
      </c>
      <c r="F80" s="20" t="s">
        <v>20</v>
      </c>
      <c r="G80" s="21">
        <v>38</v>
      </c>
      <c r="H80" s="22">
        <v>13</v>
      </c>
      <c r="I80" s="16">
        <f t="shared" si="4"/>
        <v>51</v>
      </c>
      <c r="J80" s="23">
        <f t="shared" si="5"/>
        <v>74.509803921568633</v>
      </c>
    </row>
    <row r="81" spans="1:10" ht="16.5" customHeight="1" x14ac:dyDescent="0.2">
      <c r="A81" s="8">
        <v>79</v>
      </c>
      <c r="B81" s="9" t="s">
        <v>106</v>
      </c>
      <c r="C81" s="8" t="s">
        <v>107</v>
      </c>
      <c r="D81" s="10" t="s">
        <v>89</v>
      </c>
      <c r="E81" s="11" t="s">
        <v>14</v>
      </c>
      <c r="F81" s="12" t="s">
        <v>15</v>
      </c>
      <c r="G81" s="13">
        <v>30</v>
      </c>
      <c r="H81" s="14">
        <v>10</v>
      </c>
      <c r="I81" s="8">
        <f t="shared" si="4"/>
        <v>40</v>
      </c>
      <c r="J81" s="15">
        <f t="shared" si="5"/>
        <v>75</v>
      </c>
    </row>
    <row r="82" spans="1:10" ht="16.5" customHeight="1" x14ac:dyDescent="0.2">
      <c r="A82" s="16">
        <v>80</v>
      </c>
      <c r="B82" s="17" t="s">
        <v>108</v>
      </c>
      <c r="C82" s="16" t="s">
        <v>109</v>
      </c>
      <c r="D82" s="18" t="s">
        <v>89</v>
      </c>
      <c r="E82" s="24" t="s">
        <v>19</v>
      </c>
      <c r="F82" s="25" t="s">
        <v>15</v>
      </c>
      <c r="G82" s="21">
        <v>22</v>
      </c>
      <c r="H82" s="22">
        <v>6</v>
      </c>
      <c r="I82" s="16">
        <f t="shared" si="4"/>
        <v>28</v>
      </c>
      <c r="J82" s="23">
        <f t="shared" si="5"/>
        <v>78.571428571428569</v>
      </c>
    </row>
    <row r="83" spans="1:10" ht="16.5" customHeight="1" x14ac:dyDescent="0.2">
      <c r="A83" s="8">
        <v>81</v>
      </c>
      <c r="B83" s="9" t="s">
        <v>110</v>
      </c>
      <c r="C83" s="8" t="s">
        <v>111</v>
      </c>
      <c r="D83" s="10" t="s">
        <v>89</v>
      </c>
      <c r="E83" s="11" t="s">
        <v>14</v>
      </c>
      <c r="F83" s="12" t="s">
        <v>15</v>
      </c>
      <c r="G83" s="13">
        <v>20</v>
      </c>
      <c r="H83" s="14">
        <v>3</v>
      </c>
      <c r="I83" s="8">
        <f t="shared" si="4"/>
        <v>23</v>
      </c>
      <c r="J83" s="15">
        <f t="shared" si="5"/>
        <v>86.956521739130437</v>
      </c>
    </row>
    <row r="84" spans="1:10" ht="16.5" customHeight="1" x14ac:dyDescent="0.2">
      <c r="A84" s="16">
        <v>82</v>
      </c>
      <c r="B84" s="17" t="s">
        <v>112</v>
      </c>
      <c r="C84" s="16" t="s">
        <v>111</v>
      </c>
      <c r="D84" s="18" t="s">
        <v>89</v>
      </c>
      <c r="E84" s="19" t="s">
        <v>14</v>
      </c>
      <c r="F84" s="20" t="s">
        <v>15</v>
      </c>
      <c r="G84" s="21">
        <v>15</v>
      </c>
      <c r="H84" s="22">
        <v>3</v>
      </c>
      <c r="I84" s="16">
        <f t="shared" si="4"/>
        <v>18</v>
      </c>
      <c r="J84" s="23">
        <f t="shared" si="5"/>
        <v>83.333333333333343</v>
      </c>
    </row>
    <row r="85" spans="1:10" ht="16.5" customHeight="1" x14ac:dyDescent="0.2">
      <c r="A85" s="8">
        <v>83</v>
      </c>
      <c r="B85" s="9" t="s">
        <v>113</v>
      </c>
      <c r="C85" s="8" t="s">
        <v>111</v>
      </c>
      <c r="D85" s="10" t="s">
        <v>89</v>
      </c>
      <c r="E85" s="11" t="s">
        <v>14</v>
      </c>
      <c r="F85" s="12" t="s">
        <v>15</v>
      </c>
      <c r="G85" s="13">
        <v>30</v>
      </c>
      <c r="H85" s="14">
        <v>9</v>
      </c>
      <c r="I85" s="8">
        <f t="shared" si="4"/>
        <v>39</v>
      </c>
      <c r="J85" s="15">
        <f t="shared" si="5"/>
        <v>76.923076923076934</v>
      </c>
    </row>
    <row r="86" spans="1:10" ht="16.5" customHeight="1" x14ac:dyDescent="0.2">
      <c r="A86" s="16">
        <v>84</v>
      </c>
      <c r="B86" s="17" t="s">
        <v>114</v>
      </c>
      <c r="C86" s="16" t="s">
        <v>111</v>
      </c>
      <c r="D86" s="18" t="s">
        <v>89</v>
      </c>
      <c r="E86" s="19" t="s">
        <v>14</v>
      </c>
      <c r="F86" s="20" t="s">
        <v>15</v>
      </c>
      <c r="G86" s="21">
        <v>25</v>
      </c>
      <c r="H86" s="22">
        <v>10</v>
      </c>
      <c r="I86" s="16">
        <f t="shared" si="4"/>
        <v>35</v>
      </c>
      <c r="J86" s="23">
        <f t="shared" si="5"/>
        <v>71.428571428571431</v>
      </c>
    </row>
    <row r="87" spans="1:10" ht="16.5" customHeight="1" x14ac:dyDescent="0.2">
      <c r="A87" s="8">
        <v>85</v>
      </c>
      <c r="B87" s="9" t="s">
        <v>115</v>
      </c>
      <c r="C87" s="8" t="s">
        <v>111</v>
      </c>
      <c r="D87" s="10" t="s">
        <v>89</v>
      </c>
      <c r="E87" s="26" t="s">
        <v>19</v>
      </c>
      <c r="F87" s="27" t="s">
        <v>15</v>
      </c>
      <c r="G87" s="13">
        <v>18</v>
      </c>
      <c r="H87" s="14">
        <v>5</v>
      </c>
      <c r="I87" s="8">
        <f t="shared" si="4"/>
        <v>23</v>
      </c>
      <c r="J87" s="15">
        <f t="shared" si="5"/>
        <v>78.260869565217391</v>
      </c>
    </row>
    <row r="88" spans="1:10" ht="16.5" customHeight="1" x14ac:dyDescent="0.2">
      <c r="A88" s="16">
        <v>86</v>
      </c>
      <c r="B88" s="17" t="s">
        <v>116</v>
      </c>
      <c r="C88" s="16" t="s">
        <v>111</v>
      </c>
      <c r="D88" s="18" t="s">
        <v>89</v>
      </c>
      <c r="E88" s="24" t="s">
        <v>19</v>
      </c>
      <c r="F88" s="20" t="s">
        <v>20</v>
      </c>
      <c r="G88" s="21">
        <v>16</v>
      </c>
      <c r="H88" s="22">
        <v>6</v>
      </c>
      <c r="I88" s="16">
        <f t="shared" si="4"/>
        <v>22</v>
      </c>
      <c r="J88" s="23">
        <f t="shared" si="5"/>
        <v>72.727272727272734</v>
      </c>
    </row>
    <row r="89" spans="1:10" ht="16.5" customHeight="1" x14ac:dyDescent="0.2">
      <c r="A89" s="8">
        <v>87</v>
      </c>
      <c r="B89" s="9" t="s">
        <v>117</v>
      </c>
      <c r="C89" s="8" t="s">
        <v>111</v>
      </c>
      <c r="D89" s="10" t="s">
        <v>89</v>
      </c>
      <c r="E89" s="11" t="s">
        <v>14</v>
      </c>
      <c r="F89" s="12" t="s">
        <v>15</v>
      </c>
      <c r="G89" s="13">
        <v>15</v>
      </c>
      <c r="H89" s="14">
        <v>5</v>
      </c>
      <c r="I89" s="8">
        <f t="shared" si="4"/>
        <v>20</v>
      </c>
      <c r="J89" s="15">
        <f t="shared" si="5"/>
        <v>75</v>
      </c>
    </row>
    <row r="90" spans="1:10" ht="16.5" customHeight="1" x14ac:dyDescent="0.2">
      <c r="A90" s="16">
        <v>88</v>
      </c>
      <c r="B90" s="17" t="s">
        <v>118</v>
      </c>
      <c r="C90" s="16" t="s">
        <v>119</v>
      </c>
      <c r="D90" s="18" t="s">
        <v>89</v>
      </c>
      <c r="E90" s="19" t="s">
        <v>14</v>
      </c>
      <c r="F90" s="20" t="s">
        <v>15</v>
      </c>
      <c r="G90" s="21">
        <v>47</v>
      </c>
      <c r="H90" s="22">
        <v>19</v>
      </c>
      <c r="I90" s="16">
        <f t="shared" si="4"/>
        <v>66</v>
      </c>
      <c r="J90" s="23">
        <f t="shared" si="5"/>
        <v>71.212121212121218</v>
      </c>
    </row>
    <row r="91" spans="1:10" ht="16.5" customHeight="1" x14ac:dyDescent="0.2">
      <c r="A91" s="8">
        <v>89</v>
      </c>
      <c r="B91" s="9" t="s">
        <v>120</v>
      </c>
      <c r="C91" s="8" t="s">
        <v>119</v>
      </c>
      <c r="D91" s="10" t="s">
        <v>89</v>
      </c>
      <c r="E91" s="11" t="s">
        <v>14</v>
      </c>
      <c r="F91" s="12" t="s">
        <v>15</v>
      </c>
      <c r="G91" s="13">
        <v>47</v>
      </c>
      <c r="H91" s="14">
        <v>10</v>
      </c>
      <c r="I91" s="8">
        <f t="shared" si="4"/>
        <v>57</v>
      </c>
      <c r="J91" s="15">
        <f t="shared" si="5"/>
        <v>82.456140350877192</v>
      </c>
    </row>
    <row r="92" spans="1:10" ht="16.5" customHeight="1" x14ac:dyDescent="0.2">
      <c r="A92" s="16">
        <v>90</v>
      </c>
      <c r="B92" s="17" t="s">
        <v>121</v>
      </c>
      <c r="C92" s="16" t="s">
        <v>119</v>
      </c>
      <c r="D92" s="18" t="s">
        <v>89</v>
      </c>
      <c r="E92" s="24" t="s">
        <v>19</v>
      </c>
      <c r="F92" s="20" t="s">
        <v>20</v>
      </c>
      <c r="G92" s="21">
        <v>28</v>
      </c>
      <c r="H92" s="22">
        <v>4</v>
      </c>
      <c r="I92" s="16">
        <f t="shared" si="4"/>
        <v>32</v>
      </c>
      <c r="J92" s="23">
        <f t="shared" si="5"/>
        <v>87.5</v>
      </c>
    </row>
    <row r="93" spans="1:10" ht="16.5" customHeight="1" x14ac:dyDescent="0.2">
      <c r="A93" s="8">
        <v>91</v>
      </c>
      <c r="B93" s="9" t="s">
        <v>122</v>
      </c>
      <c r="C93" s="8" t="s">
        <v>119</v>
      </c>
      <c r="D93" s="10" t="s">
        <v>89</v>
      </c>
      <c r="E93" s="11" t="s">
        <v>14</v>
      </c>
      <c r="F93" s="12" t="s">
        <v>15</v>
      </c>
      <c r="G93" s="13">
        <v>28</v>
      </c>
      <c r="H93" s="14">
        <v>13</v>
      </c>
      <c r="I93" s="8">
        <f t="shared" si="4"/>
        <v>41</v>
      </c>
      <c r="J93" s="15">
        <f t="shared" si="5"/>
        <v>68.292682926829272</v>
      </c>
    </row>
    <row r="94" spans="1:10" ht="16.5" customHeight="1" x14ac:dyDescent="0.2">
      <c r="A94" s="16">
        <v>92</v>
      </c>
      <c r="B94" s="17" t="s">
        <v>123</v>
      </c>
      <c r="C94" s="16" t="s">
        <v>119</v>
      </c>
      <c r="D94" s="18" t="s">
        <v>89</v>
      </c>
      <c r="E94" s="19" t="s">
        <v>14</v>
      </c>
      <c r="F94" s="20" t="s">
        <v>15</v>
      </c>
      <c r="G94" s="21">
        <v>31</v>
      </c>
      <c r="H94" s="22">
        <v>14</v>
      </c>
      <c r="I94" s="16">
        <f t="shared" si="4"/>
        <v>45</v>
      </c>
      <c r="J94" s="23">
        <f t="shared" si="5"/>
        <v>68.888888888888886</v>
      </c>
    </row>
    <row r="95" spans="1:10" ht="16.5" customHeight="1" x14ac:dyDescent="0.2">
      <c r="A95" s="8">
        <v>93</v>
      </c>
      <c r="B95" s="9" t="s">
        <v>124</v>
      </c>
      <c r="C95" s="8" t="s">
        <v>125</v>
      </c>
      <c r="D95" s="10" t="s">
        <v>89</v>
      </c>
      <c r="E95" s="26" t="s">
        <v>19</v>
      </c>
      <c r="F95" s="27" t="s">
        <v>15</v>
      </c>
      <c r="G95" s="13">
        <v>20</v>
      </c>
      <c r="H95" s="14">
        <v>8</v>
      </c>
      <c r="I95" s="8">
        <f t="shared" si="4"/>
        <v>28</v>
      </c>
      <c r="J95" s="15">
        <f t="shared" si="5"/>
        <v>71.428571428571431</v>
      </c>
    </row>
    <row r="96" spans="1:10" ht="16.5" customHeight="1" x14ac:dyDescent="0.2">
      <c r="A96" s="16">
        <v>94</v>
      </c>
      <c r="B96" s="17" t="s">
        <v>126</v>
      </c>
      <c r="C96" s="16" t="s">
        <v>127</v>
      </c>
      <c r="D96" s="18" t="s">
        <v>89</v>
      </c>
      <c r="E96" s="24" t="s">
        <v>19</v>
      </c>
      <c r="F96" s="25" t="s">
        <v>15</v>
      </c>
      <c r="G96" s="21">
        <v>22</v>
      </c>
      <c r="H96" s="22">
        <v>13</v>
      </c>
      <c r="I96" s="16">
        <f t="shared" si="4"/>
        <v>35</v>
      </c>
      <c r="J96" s="23">
        <f t="shared" si="5"/>
        <v>62.857142857142854</v>
      </c>
    </row>
    <row r="97" spans="1:10" ht="16.5" customHeight="1" x14ac:dyDescent="0.2">
      <c r="A97" s="8">
        <v>95</v>
      </c>
      <c r="B97" s="9" t="s">
        <v>128</v>
      </c>
      <c r="C97" s="8" t="s">
        <v>129</v>
      </c>
      <c r="D97" s="10" t="s">
        <v>130</v>
      </c>
      <c r="E97" s="26" t="s">
        <v>19</v>
      </c>
      <c r="F97" s="27" t="s">
        <v>15</v>
      </c>
      <c r="G97" s="13">
        <v>24</v>
      </c>
      <c r="H97" s="14">
        <v>3</v>
      </c>
      <c r="I97" s="8">
        <f t="shared" si="4"/>
        <v>27</v>
      </c>
      <c r="J97" s="15">
        <f t="shared" si="5"/>
        <v>88.888888888888886</v>
      </c>
    </row>
    <row r="98" spans="1:10" ht="16.5" customHeight="1" x14ac:dyDescent="0.2">
      <c r="A98" s="16">
        <v>96</v>
      </c>
      <c r="B98" s="17" t="s">
        <v>131</v>
      </c>
      <c r="C98" s="16" t="s">
        <v>132</v>
      </c>
      <c r="D98" s="18" t="s">
        <v>130</v>
      </c>
      <c r="E98" s="19" t="s">
        <v>14</v>
      </c>
      <c r="F98" s="20" t="s">
        <v>15</v>
      </c>
      <c r="G98" s="21">
        <v>17</v>
      </c>
      <c r="H98" s="22">
        <v>3</v>
      </c>
      <c r="I98" s="16">
        <f t="shared" si="4"/>
        <v>20</v>
      </c>
      <c r="J98" s="23">
        <f t="shared" si="5"/>
        <v>85</v>
      </c>
    </row>
    <row r="99" spans="1:10" ht="16.5" customHeight="1" x14ac:dyDescent="0.2">
      <c r="A99" s="8">
        <v>97</v>
      </c>
      <c r="B99" s="9" t="s">
        <v>133</v>
      </c>
      <c r="C99" s="8" t="s">
        <v>134</v>
      </c>
      <c r="D99" s="10" t="s">
        <v>89</v>
      </c>
      <c r="E99" s="11" t="s">
        <v>14</v>
      </c>
      <c r="F99" s="12" t="s">
        <v>15</v>
      </c>
      <c r="G99" s="13">
        <v>11</v>
      </c>
      <c r="H99" s="14">
        <v>2</v>
      </c>
      <c r="I99" s="8">
        <f t="shared" ref="I99:I130" si="6">G99+H99</f>
        <v>13</v>
      </c>
      <c r="J99" s="15">
        <f t="shared" ref="J99:J130" si="7">IF(I99&gt;0,G99/I99*100,0)</f>
        <v>84.615384615384613</v>
      </c>
    </row>
    <row r="100" spans="1:10" ht="16.5" customHeight="1" x14ac:dyDescent="0.2">
      <c r="A100" s="16">
        <v>98</v>
      </c>
      <c r="B100" s="17" t="s">
        <v>135</v>
      </c>
      <c r="C100" s="16" t="s">
        <v>134</v>
      </c>
      <c r="D100" s="18" t="s">
        <v>89</v>
      </c>
      <c r="E100" s="19" t="s">
        <v>14</v>
      </c>
      <c r="F100" s="20" t="s">
        <v>15</v>
      </c>
      <c r="G100" s="21">
        <v>13</v>
      </c>
      <c r="H100" s="22">
        <v>3</v>
      </c>
      <c r="I100" s="16">
        <f t="shared" si="6"/>
        <v>16</v>
      </c>
      <c r="J100" s="23">
        <f t="shared" si="7"/>
        <v>81.25</v>
      </c>
    </row>
    <row r="101" spans="1:10" ht="16.5" customHeight="1" x14ac:dyDescent="0.2">
      <c r="A101" s="8">
        <v>99</v>
      </c>
      <c r="B101" s="9" t="s">
        <v>136</v>
      </c>
      <c r="C101" s="8" t="s">
        <v>134</v>
      </c>
      <c r="D101" s="10" t="s">
        <v>89</v>
      </c>
      <c r="E101" s="26" t="s">
        <v>19</v>
      </c>
      <c r="F101" s="27" t="s">
        <v>15</v>
      </c>
      <c r="G101" s="13">
        <v>14</v>
      </c>
      <c r="H101" s="14">
        <v>4</v>
      </c>
      <c r="I101" s="8">
        <f t="shared" si="6"/>
        <v>18</v>
      </c>
      <c r="J101" s="15">
        <f t="shared" si="7"/>
        <v>77.777777777777786</v>
      </c>
    </row>
    <row r="102" spans="1:10" ht="16.5" customHeight="1" x14ac:dyDescent="0.2">
      <c r="A102" s="16">
        <v>100</v>
      </c>
      <c r="B102" s="17" t="s">
        <v>137</v>
      </c>
      <c r="C102" s="16" t="s">
        <v>138</v>
      </c>
      <c r="D102" s="18" t="s">
        <v>89</v>
      </c>
      <c r="E102" s="19" t="s">
        <v>14</v>
      </c>
      <c r="F102" s="20" t="s">
        <v>15</v>
      </c>
      <c r="G102" s="21">
        <v>15</v>
      </c>
      <c r="H102" s="22">
        <v>0</v>
      </c>
      <c r="I102" s="16">
        <f t="shared" si="6"/>
        <v>15</v>
      </c>
      <c r="J102" s="23">
        <f t="shared" si="7"/>
        <v>100</v>
      </c>
    </row>
    <row r="103" spans="1:10" ht="16.5" customHeight="1" x14ac:dyDescent="0.2">
      <c r="A103" s="8">
        <v>101</v>
      </c>
      <c r="B103" s="9" t="s">
        <v>139</v>
      </c>
      <c r="C103" s="8" t="s">
        <v>138</v>
      </c>
      <c r="D103" s="10" t="s">
        <v>89</v>
      </c>
      <c r="E103" s="11" t="s">
        <v>14</v>
      </c>
      <c r="F103" s="12" t="s">
        <v>15</v>
      </c>
      <c r="G103" s="13">
        <v>16</v>
      </c>
      <c r="H103" s="14">
        <v>4</v>
      </c>
      <c r="I103" s="8">
        <f t="shared" si="6"/>
        <v>20</v>
      </c>
      <c r="J103" s="15">
        <f t="shared" si="7"/>
        <v>80</v>
      </c>
    </row>
    <row r="104" spans="1:10" ht="16.5" customHeight="1" x14ac:dyDescent="0.2">
      <c r="A104" s="16">
        <v>102</v>
      </c>
      <c r="B104" s="17" t="s">
        <v>140</v>
      </c>
      <c r="C104" s="16" t="s">
        <v>141</v>
      </c>
      <c r="D104" s="18" t="s">
        <v>142</v>
      </c>
      <c r="E104" s="19" t="s">
        <v>14</v>
      </c>
      <c r="F104" s="20" t="s">
        <v>15</v>
      </c>
      <c r="G104" s="21">
        <v>26</v>
      </c>
      <c r="H104" s="22">
        <v>3</v>
      </c>
      <c r="I104" s="16">
        <f t="shared" si="6"/>
        <v>29</v>
      </c>
      <c r="J104" s="23">
        <f t="shared" si="7"/>
        <v>89.65517241379311</v>
      </c>
    </row>
    <row r="105" spans="1:10" ht="16.5" customHeight="1" x14ac:dyDescent="0.2">
      <c r="A105" s="8">
        <v>103</v>
      </c>
      <c r="B105" s="9" t="s">
        <v>143</v>
      </c>
      <c r="C105" s="8" t="s">
        <v>141</v>
      </c>
      <c r="D105" s="10" t="s">
        <v>142</v>
      </c>
      <c r="E105" s="11" t="s">
        <v>14</v>
      </c>
      <c r="F105" s="12" t="s">
        <v>15</v>
      </c>
      <c r="G105" s="13">
        <v>24</v>
      </c>
      <c r="H105" s="14">
        <v>6</v>
      </c>
      <c r="I105" s="8">
        <f t="shared" si="6"/>
        <v>30</v>
      </c>
      <c r="J105" s="15">
        <f t="shared" si="7"/>
        <v>80</v>
      </c>
    </row>
    <row r="106" spans="1:10" ht="16.5" customHeight="1" x14ac:dyDescent="0.2">
      <c r="A106" s="16">
        <v>104</v>
      </c>
      <c r="B106" s="17" t="s">
        <v>144</v>
      </c>
      <c r="C106" s="16" t="s">
        <v>145</v>
      </c>
      <c r="D106" s="18" t="s">
        <v>142</v>
      </c>
      <c r="E106" s="19" t="s">
        <v>14</v>
      </c>
      <c r="F106" s="20" t="s">
        <v>15</v>
      </c>
      <c r="G106" s="21">
        <v>13</v>
      </c>
      <c r="H106" s="22">
        <v>14</v>
      </c>
      <c r="I106" s="16">
        <f t="shared" si="6"/>
        <v>27</v>
      </c>
      <c r="J106" s="23">
        <f t="shared" si="7"/>
        <v>48.148148148148145</v>
      </c>
    </row>
    <row r="107" spans="1:10" ht="16.5" customHeight="1" x14ac:dyDescent="0.2">
      <c r="A107" s="8">
        <v>105</v>
      </c>
      <c r="B107" s="9" t="s">
        <v>146</v>
      </c>
      <c r="C107" s="8" t="s">
        <v>141</v>
      </c>
      <c r="D107" s="10" t="s">
        <v>142</v>
      </c>
      <c r="E107" s="11" t="s">
        <v>14</v>
      </c>
      <c r="F107" s="12" t="s">
        <v>15</v>
      </c>
      <c r="G107" s="13">
        <v>15</v>
      </c>
      <c r="H107" s="14">
        <v>5</v>
      </c>
      <c r="I107" s="8">
        <f t="shared" si="6"/>
        <v>20</v>
      </c>
      <c r="J107" s="15">
        <f t="shared" si="7"/>
        <v>75</v>
      </c>
    </row>
    <row r="108" spans="1:10" ht="16.5" customHeight="1" x14ac:dyDescent="0.2">
      <c r="A108" s="16">
        <v>106</v>
      </c>
      <c r="B108" s="17" t="s">
        <v>147</v>
      </c>
      <c r="C108" s="16" t="s">
        <v>148</v>
      </c>
      <c r="D108" s="18" t="s">
        <v>13</v>
      </c>
      <c r="E108" s="19" t="s">
        <v>14</v>
      </c>
      <c r="F108" s="20" t="s">
        <v>15</v>
      </c>
      <c r="G108" s="21">
        <v>26</v>
      </c>
      <c r="H108" s="22">
        <v>2</v>
      </c>
      <c r="I108" s="16">
        <f t="shared" si="6"/>
        <v>28</v>
      </c>
      <c r="J108" s="23">
        <f t="shared" si="7"/>
        <v>92.857142857142861</v>
      </c>
    </row>
    <row r="109" spans="1:10" ht="16.5" customHeight="1" x14ac:dyDescent="0.2">
      <c r="A109" s="8">
        <v>107</v>
      </c>
      <c r="B109" s="9" t="s">
        <v>149</v>
      </c>
      <c r="C109" s="8" t="s">
        <v>148</v>
      </c>
      <c r="D109" s="10" t="s">
        <v>13</v>
      </c>
      <c r="E109" s="11" t="s">
        <v>14</v>
      </c>
      <c r="F109" s="12" t="s">
        <v>15</v>
      </c>
      <c r="G109" s="13">
        <v>22</v>
      </c>
      <c r="H109" s="14">
        <v>6</v>
      </c>
      <c r="I109" s="8">
        <f t="shared" si="6"/>
        <v>28</v>
      </c>
      <c r="J109" s="15">
        <f t="shared" si="7"/>
        <v>78.571428571428569</v>
      </c>
    </row>
    <row r="110" spans="1:10" ht="16.5" customHeight="1" x14ac:dyDescent="0.2">
      <c r="A110" s="16">
        <v>108</v>
      </c>
      <c r="B110" s="17" t="s">
        <v>150</v>
      </c>
      <c r="C110" s="16" t="s">
        <v>151</v>
      </c>
      <c r="D110" s="18" t="s">
        <v>152</v>
      </c>
      <c r="E110" s="19" t="s">
        <v>14</v>
      </c>
      <c r="F110" s="20" t="s">
        <v>15</v>
      </c>
      <c r="G110" s="21">
        <v>23</v>
      </c>
      <c r="H110" s="22">
        <v>3</v>
      </c>
      <c r="I110" s="16">
        <f t="shared" si="6"/>
        <v>26</v>
      </c>
      <c r="J110" s="23">
        <f t="shared" si="7"/>
        <v>88.461538461538453</v>
      </c>
    </row>
    <row r="111" spans="1:10" ht="16.5" customHeight="1" x14ac:dyDescent="0.2">
      <c r="A111" s="8">
        <v>109</v>
      </c>
      <c r="B111" s="9" t="s">
        <v>153</v>
      </c>
      <c r="C111" s="8" t="s">
        <v>151</v>
      </c>
      <c r="D111" s="10" t="s">
        <v>152</v>
      </c>
      <c r="E111" s="26" t="s">
        <v>19</v>
      </c>
      <c r="F111" s="12" t="s">
        <v>20</v>
      </c>
      <c r="G111" s="13">
        <v>18</v>
      </c>
      <c r="H111" s="14">
        <v>3</v>
      </c>
      <c r="I111" s="8">
        <f t="shared" si="6"/>
        <v>21</v>
      </c>
      <c r="J111" s="15">
        <f t="shared" si="7"/>
        <v>85.714285714285708</v>
      </c>
    </row>
    <row r="112" spans="1:10" ht="16.5" customHeight="1" x14ac:dyDescent="0.2">
      <c r="A112" s="16">
        <v>110</v>
      </c>
      <c r="B112" s="17" t="s">
        <v>154</v>
      </c>
      <c r="C112" s="16" t="s">
        <v>155</v>
      </c>
      <c r="D112" s="18" t="s">
        <v>152</v>
      </c>
      <c r="E112" s="19" t="s">
        <v>14</v>
      </c>
      <c r="F112" s="20" t="s">
        <v>15</v>
      </c>
      <c r="G112" s="21">
        <v>17</v>
      </c>
      <c r="H112" s="22">
        <v>7</v>
      </c>
      <c r="I112" s="16">
        <f t="shared" si="6"/>
        <v>24</v>
      </c>
      <c r="J112" s="23">
        <f t="shared" si="7"/>
        <v>70.833333333333343</v>
      </c>
    </row>
    <row r="113" spans="1:10" ht="16.5" customHeight="1" x14ac:dyDescent="0.2">
      <c r="A113" s="8">
        <v>111</v>
      </c>
      <c r="B113" s="9" t="s">
        <v>156</v>
      </c>
      <c r="C113" s="8" t="s">
        <v>157</v>
      </c>
      <c r="D113" s="10" t="s">
        <v>152</v>
      </c>
      <c r="E113" s="11" t="s">
        <v>14</v>
      </c>
      <c r="F113" s="12" t="s">
        <v>15</v>
      </c>
      <c r="G113" s="13">
        <v>30</v>
      </c>
      <c r="H113" s="14">
        <v>11</v>
      </c>
      <c r="I113" s="8">
        <f t="shared" si="6"/>
        <v>41</v>
      </c>
      <c r="J113" s="15">
        <f t="shared" si="7"/>
        <v>73.170731707317074</v>
      </c>
    </row>
    <row r="114" spans="1:10" ht="16.5" customHeight="1" x14ac:dyDescent="0.2">
      <c r="A114" s="16">
        <v>112</v>
      </c>
      <c r="B114" s="17" t="s">
        <v>158</v>
      </c>
      <c r="C114" s="16" t="s">
        <v>157</v>
      </c>
      <c r="D114" s="18" t="s">
        <v>152</v>
      </c>
      <c r="E114" s="24" t="s">
        <v>19</v>
      </c>
      <c r="F114" s="20" t="s">
        <v>20</v>
      </c>
      <c r="G114" s="21">
        <v>37</v>
      </c>
      <c r="H114" s="22">
        <v>12</v>
      </c>
      <c r="I114" s="16">
        <f t="shared" si="6"/>
        <v>49</v>
      </c>
      <c r="J114" s="23">
        <f t="shared" si="7"/>
        <v>75.510204081632651</v>
      </c>
    </row>
    <row r="115" spans="1:10" ht="16.5" customHeight="1" x14ac:dyDescent="0.2">
      <c r="A115" s="8">
        <v>113</v>
      </c>
      <c r="B115" s="9" t="s">
        <v>159</v>
      </c>
      <c r="C115" s="8" t="s">
        <v>157</v>
      </c>
      <c r="D115" s="10" t="s">
        <v>152</v>
      </c>
      <c r="E115" s="11" t="s">
        <v>14</v>
      </c>
      <c r="F115" s="12" t="s">
        <v>15</v>
      </c>
      <c r="G115" s="13">
        <v>27</v>
      </c>
      <c r="H115" s="14">
        <v>10</v>
      </c>
      <c r="I115" s="8">
        <f t="shared" si="6"/>
        <v>37</v>
      </c>
      <c r="J115" s="15">
        <f t="shared" si="7"/>
        <v>72.972972972972968</v>
      </c>
    </row>
    <row r="116" spans="1:10" ht="16.5" customHeight="1" x14ac:dyDescent="0.2">
      <c r="A116" s="16">
        <v>114</v>
      </c>
      <c r="B116" s="17" t="s">
        <v>160</v>
      </c>
      <c r="C116" s="16" t="s">
        <v>155</v>
      </c>
      <c r="D116" s="18" t="s">
        <v>152</v>
      </c>
      <c r="E116" s="19" t="s">
        <v>14</v>
      </c>
      <c r="F116" s="20" t="s">
        <v>15</v>
      </c>
      <c r="G116" s="21">
        <v>21</v>
      </c>
      <c r="H116" s="22">
        <v>4</v>
      </c>
      <c r="I116" s="16">
        <f t="shared" si="6"/>
        <v>25</v>
      </c>
      <c r="J116" s="23">
        <f t="shared" si="7"/>
        <v>84</v>
      </c>
    </row>
    <row r="117" spans="1:10" ht="16.5" customHeight="1" x14ac:dyDescent="0.2">
      <c r="A117" s="8">
        <v>115</v>
      </c>
      <c r="B117" s="9" t="s">
        <v>161</v>
      </c>
      <c r="C117" s="8" t="s">
        <v>162</v>
      </c>
      <c r="D117" s="10" t="s">
        <v>152</v>
      </c>
      <c r="E117" s="11" t="s">
        <v>14</v>
      </c>
      <c r="F117" s="12" t="s">
        <v>15</v>
      </c>
      <c r="G117" s="13">
        <v>23</v>
      </c>
      <c r="H117" s="14">
        <v>4</v>
      </c>
      <c r="I117" s="8">
        <f t="shared" si="6"/>
        <v>27</v>
      </c>
      <c r="J117" s="15">
        <f t="shared" si="7"/>
        <v>85.18518518518519</v>
      </c>
    </row>
    <row r="118" spans="1:10" ht="16.5" customHeight="1" x14ac:dyDescent="0.2">
      <c r="A118" s="16">
        <v>116</v>
      </c>
      <c r="B118" s="17" t="s">
        <v>163</v>
      </c>
      <c r="C118" s="16" t="s">
        <v>58</v>
      </c>
      <c r="D118" s="18" t="s">
        <v>13</v>
      </c>
      <c r="E118" s="19" t="s">
        <v>14</v>
      </c>
      <c r="F118" s="20" t="s">
        <v>15</v>
      </c>
      <c r="G118" s="21">
        <v>21</v>
      </c>
      <c r="H118" s="22">
        <v>3</v>
      </c>
      <c r="I118" s="16">
        <f t="shared" si="6"/>
        <v>24</v>
      </c>
      <c r="J118" s="23">
        <f t="shared" si="7"/>
        <v>87.5</v>
      </c>
    </row>
    <row r="119" spans="1:10" ht="16.5" customHeight="1" x14ac:dyDescent="0.2">
      <c r="A119" s="8">
        <v>117</v>
      </c>
      <c r="B119" s="9" t="s">
        <v>164</v>
      </c>
      <c r="C119" s="8" t="s">
        <v>165</v>
      </c>
      <c r="D119" s="10" t="s">
        <v>89</v>
      </c>
      <c r="E119" s="11" t="s">
        <v>14</v>
      </c>
      <c r="F119" s="12" t="s">
        <v>15</v>
      </c>
      <c r="G119" s="13">
        <v>17</v>
      </c>
      <c r="H119" s="14">
        <v>8</v>
      </c>
      <c r="I119" s="8">
        <f t="shared" si="6"/>
        <v>25</v>
      </c>
      <c r="J119" s="15">
        <f t="shared" si="7"/>
        <v>68</v>
      </c>
    </row>
  </sheetData>
  <mergeCells count="1">
    <mergeCell ref="A1:J1"/>
  </mergeCells>
  <conditionalFormatting sqref="A1:H1 J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{A81A87CB-30AF-124F-843C-CB7D22050D79}</x14:id>
        </ext>
      </extLst>
    </cfRule>
  </conditionalFormatting>
  <conditionalFormatting sqref="J1:J1048576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{6B8F03B9-A1FE-6643-91E4-2A2949E8BD97}</x14:id>
        </ext>
      </extLst>
    </cfRule>
  </conditionalFormatting>
  <conditionalFormatting sqref="I1:I1048576">
    <cfRule type="colorScale" priority="3">
      <colorScale>
        <cfvo type="min"/>
        <cfvo type="max"/>
        <color rgb="FF7030A0"/>
        <color theme="8" tint="0.39997558519241921"/>
      </colorScale>
    </cfRule>
    <cfRule type="dataBar" priority="2">
      <dataBar>
        <cfvo type="min"/>
        <cfvo type="max"/>
        <color theme="8" tint="0.39997558519241921"/>
      </dataBar>
      <extLst>
        <ext xmlns:x14="http://schemas.microsoft.com/office/spreadsheetml/2009/9/main" uri="{B025F937-C7B1-47D3-B67F-A62EFF666E3E}">
          <x14:id>{B410BE44-5FEB-4044-BC5C-5AEF209ECA50}</x14:id>
        </ext>
      </extLst>
    </cfRule>
  </conditionalFormatting>
  <conditionalFormatting sqref="E1:E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{945E6E66-C3BE-4F4A-AF24-8F75D6682C1C}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1A87CB-30AF-124F-843C-CB7D22050D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A1:H1 J1</xm:sqref>
        </x14:conditionalFormatting>
        <x14:conditionalFormatting xmlns:xm="http://schemas.microsoft.com/office/excel/2006/main">
          <x14:cfRule type="dataBar" id="{6B8F03B9-A1FE-6643-91E4-2A2949E8BD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  <x14:conditionalFormatting xmlns:xm="http://schemas.microsoft.com/office/excel/2006/main">
          <x14:cfRule type="dataBar" id="{B410BE44-5FEB-4044-BC5C-5AEF209ECA50}">
            <x14:dataBar minLength="0" maxLength="100" gradient="0">
              <x14:cfvo type="autoMin"/>
              <x14:cfvo type="autoMax"/>
              <x14:negativeFillColor rgb="FF7030A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945E6E66-C3BE-4F4A-AF24-8F75D6682C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6C1"/>
  </sheetPr>
  <dimension ref="B1:G20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28" customWidth="1"/>
    <col min="3" max="4" width="13" customWidth="1"/>
    <col min="5" max="7" width="14" customWidth="1"/>
    <col min="8" max="8" width="2" customWidth="1"/>
  </cols>
  <sheetData>
    <row r="1" spans="2:7" ht="36" customHeight="1" x14ac:dyDescent="0.2">
      <c r="B1" s="5" t="s">
        <v>166</v>
      </c>
      <c r="C1" s="5"/>
      <c r="D1" s="5"/>
      <c r="E1" s="5"/>
      <c r="F1" s="5"/>
      <c r="G1" s="5"/>
    </row>
    <row r="3" spans="2:7" ht="24" customHeight="1" x14ac:dyDescent="0.2">
      <c r="B3" s="4" t="s">
        <v>167</v>
      </c>
      <c r="C3" s="4"/>
      <c r="D3" s="4"/>
      <c r="E3" s="4"/>
      <c r="F3" s="4"/>
      <c r="G3" s="4"/>
    </row>
    <row r="4" spans="2:7" ht="21.75" customHeight="1" x14ac:dyDescent="0.2">
      <c r="B4" s="28" t="s">
        <v>168</v>
      </c>
      <c r="C4" s="7" t="s">
        <v>169</v>
      </c>
      <c r="D4" s="29" t="s">
        <v>170</v>
      </c>
      <c r="E4" s="30" t="s">
        <v>171</v>
      </c>
      <c r="F4" s="30" t="s">
        <v>172</v>
      </c>
      <c r="G4" s="31" t="s">
        <v>173</v>
      </c>
    </row>
    <row r="5" spans="2:7" ht="19.5" customHeight="1" x14ac:dyDescent="0.2">
      <c r="B5" s="32" t="s">
        <v>174</v>
      </c>
      <c r="C5" s="33">
        <f>COUNTIFS('🥊 Fighters Database'!E3:E119,"Orthodox",'🥊 Fighters Database'!F3:F119,"Right")</f>
        <v>89</v>
      </c>
      <c r="D5" s="34">
        <f>IF(C5&gt;0,C5/117,0)</f>
        <v>0.76068376068376065</v>
      </c>
      <c r="E5" s="35">
        <f>IF(C5=0,0,AVERAGEIFS('🥊 Fighters Database'!J3:J119,'🥊 Fighters Database'!E3:E119,"Orthodox",'🥊 Fighters Database'!F3:F119,"Right"))</f>
        <v>78.20476024276779</v>
      </c>
      <c r="F5" s="36">
        <f>IF(C5=0,0,AVERAGEIFS('🥊 Fighters Database'!J3:J119,'🥊 Fighters Database'!E3:E119,"Orthodox",'🥊 Fighters Database'!F3:F119,"Right"))</f>
        <v>78.20476024276779</v>
      </c>
      <c r="G5" s="37">
        <f>IF(C5&lt;=1,"N/A",SQRT(SUMPRODUCT(('🥊 Fighters Database'!E3:E119="Orthodox")*('🥊 Fighters Database'!F3:F119="Right")*('🥊 Fighters Database'!J3:J119-E5)^2)/C5))</f>
        <v>9.6406371420198873</v>
      </c>
    </row>
    <row r="6" spans="2:7" ht="19.5" customHeight="1" x14ac:dyDescent="0.2">
      <c r="B6" s="38" t="s">
        <v>175</v>
      </c>
      <c r="C6" s="39">
        <f>COUNTIFS('🥊 Fighters Database'!E3:E119,"Southpaw",'🥊 Fighters Database'!F3:F119,"Left")</f>
        <v>15</v>
      </c>
      <c r="D6" s="40">
        <f>IF(C6&gt;0,C6/117,0)</f>
        <v>0.12820512820512819</v>
      </c>
      <c r="E6" s="41">
        <f>IF(C6=0,0,AVERAGEIFS('🥊 Fighters Database'!J3:J119,'🥊 Fighters Database'!E3:E119,"Southpaw",'🥊 Fighters Database'!F3:F119,"Left"))</f>
        <v>77.127907615441984</v>
      </c>
      <c r="F6" s="42">
        <f>IF(C6=0,0,AVERAGEIFS('🥊 Fighters Database'!J3:J119,'🥊 Fighters Database'!E3:E119,"Southpaw",'🥊 Fighters Database'!F3:F119,"Left"))</f>
        <v>77.127907615441984</v>
      </c>
      <c r="G6" s="43">
        <f>IF(C6&lt;=1,"N/A",SQRT(SUMPRODUCT(('🥊 Fighters Database'!E3:E119="Southpaw")*('🥊 Fighters Database'!F3:F119="Left")*('🥊 Fighters Database'!J3:J119-E6)^2)/C6))</f>
        <v>10.524359283551529</v>
      </c>
    </row>
    <row r="7" spans="2:7" ht="19.5" customHeight="1" x14ac:dyDescent="0.2">
      <c r="B7" s="44" t="s">
        <v>176</v>
      </c>
      <c r="C7" s="33">
        <f>COUNTIFS('🥊 Fighters Database'!E3:E119,"Southpaw",'🥊 Fighters Database'!F3:F119,"Right")</f>
        <v>13</v>
      </c>
      <c r="D7" s="34">
        <f>IF(C7&gt;0,C7/117,0)</f>
        <v>0.1111111111111111</v>
      </c>
      <c r="E7" s="35">
        <f>IF(C7=0,0,AVERAGEIFS('🥊 Fighters Database'!J3:J119,'🥊 Fighters Database'!E3:E119,"Southpaw",'🥊 Fighters Database'!F3:F119,"Right"))</f>
        <v>77.921649519959686</v>
      </c>
      <c r="F7" s="36">
        <f>IF(C7=0,0,AVERAGEIFS('🥊 Fighters Database'!J3:J119,'🥊 Fighters Database'!E3:E119,"Southpaw",'🥊 Fighters Database'!F3:F119,"Right"))</f>
        <v>77.921649519959686</v>
      </c>
      <c r="G7" s="37">
        <f>IF(C7&lt;=1,"N/A",SQRT(SUMPRODUCT(('🥊 Fighters Database'!E3:E119="Southpaw")*('🥊 Fighters Database'!F3:F119="Right")*('🥊 Fighters Database'!J3:J119-E7)^2)/C7))</f>
        <v>8.0107033347070029</v>
      </c>
    </row>
    <row r="8" spans="2:7" ht="19.5" customHeight="1" x14ac:dyDescent="0.2">
      <c r="B8" s="45" t="s">
        <v>177</v>
      </c>
      <c r="C8" s="39">
        <f>COUNTIFS('🥊 Fighters Database'!E3:E119,"Orthodox",'🥊 Fighters Database'!F3:F119,"Left")</f>
        <v>0</v>
      </c>
      <c r="D8" s="40">
        <f>IF(C8&gt;0,C8/117,0)</f>
        <v>0</v>
      </c>
      <c r="E8" s="41">
        <f>IF(C8=0,0,AVERAGEIFS('🥊 Fighters Database'!J3:J119,'🥊 Fighters Database'!E3:E119,"Orthodox",'🥊 Fighters Database'!F3:F119,"Left"))</f>
        <v>0</v>
      </c>
      <c r="F8" s="42">
        <f>IF(C8=0,0,AVERAGEIFS('🥊 Fighters Database'!J3:J119,'🥊 Fighters Database'!E3:E119,"Orthodox",'🥊 Fighters Database'!F3:F119,"Left"))</f>
        <v>0</v>
      </c>
      <c r="G8" s="43" t="str">
        <f>IF(C8&lt;=1,"N/A",SQRT(SUMPRODUCT(('🥊 Fighters Database'!E3:E119="Orthodox")*('🥊 Fighters Database'!F3:F119="Left")*('🥊 Fighters Database'!J3:J119-E8)^2)/C8))</f>
        <v>N/A</v>
      </c>
    </row>
    <row r="11" spans="2:7" ht="24" customHeight="1" x14ac:dyDescent="0.2">
      <c r="B11" s="4" t="s">
        <v>178</v>
      </c>
      <c r="C11" s="4"/>
      <c r="D11" s="4"/>
      <c r="E11" s="4"/>
      <c r="F11" s="4"/>
      <c r="G11" s="4"/>
    </row>
    <row r="12" spans="2:7" ht="21.75" customHeight="1" x14ac:dyDescent="0.2">
      <c r="B12" s="28" t="s">
        <v>5</v>
      </c>
      <c r="C12" s="7" t="s">
        <v>179</v>
      </c>
      <c r="D12" s="29" t="s">
        <v>180</v>
      </c>
      <c r="E12" s="30" t="s">
        <v>171</v>
      </c>
      <c r="F12" s="30" t="s">
        <v>181</v>
      </c>
      <c r="G12" s="46" t="s">
        <v>182</v>
      </c>
    </row>
    <row r="13" spans="2:7" ht="21.75" customHeight="1" x14ac:dyDescent="0.2">
      <c r="B13" s="47" t="s">
        <v>14</v>
      </c>
      <c r="C13" s="48">
        <f>COUNTIF('🥊 Fighters Database'!E3:E119,"Orthodox")</f>
        <v>89</v>
      </c>
      <c r="D13" s="34">
        <f>C13/117</f>
        <v>0.76068376068376065</v>
      </c>
      <c r="E13" s="35">
        <f>AVERAGEIF('🥊 Fighters Database'!E3:E119,"Orthodox",'🥊 Fighters Database'!J3:J119)</f>
        <v>78.20476024276779</v>
      </c>
      <c r="F13" s="13">
        <f>SUMIF('🥊 Fighters Database'!E3:E119,"Orthodox",'🥊 Fighters Database'!G3:G119)</f>
        <v>2126</v>
      </c>
      <c r="G13" s="49">
        <f>AVERAGEIF('🥊 Fighters Database'!E3:E119,"Orthodox",'🥊 Fighters Database'!H3:H119)</f>
        <v>7.393258426966292</v>
      </c>
    </row>
    <row r="14" spans="2:7" ht="21.75" customHeight="1" x14ac:dyDescent="0.2">
      <c r="B14" s="50" t="s">
        <v>19</v>
      </c>
      <c r="C14" s="51">
        <f>COUNTIF('🥊 Fighters Database'!E3:E119,"Southpaw")</f>
        <v>28</v>
      </c>
      <c r="D14" s="40">
        <f>C14/117</f>
        <v>0.23931623931623933</v>
      </c>
      <c r="E14" s="41">
        <f>AVERAGEIF('🥊 Fighters Database'!E3:E119,"Southpaw",'🥊 Fighters Database'!J3:J119)</f>
        <v>77.496430642539494</v>
      </c>
      <c r="F14" s="21">
        <f>SUMIF('🥊 Fighters Database'!E3:E119,"Southpaw",'🥊 Fighters Database'!G3:G119)</f>
        <v>628</v>
      </c>
      <c r="G14" s="52">
        <f>AVERAGEIF('🥊 Fighters Database'!E3:E119,"Southpaw",'🥊 Fighters Database'!H3:H119)</f>
        <v>6.7857142857142856</v>
      </c>
    </row>
    <row r="17" spans="2:7" ht="24" customHeight="1" x14ac:dyDescent="0.2">
      <c r="B17" s="4" t="s">
        <v>183</v>
      </c>
      <c r="C17" s="4"/>
      <c r="D17" s="4"/>
      <c r="E17" s="4"/>
      <c r="F17" s="4"/>
      <c r="G17" s="4"/>
    </row>
    <row r="18" spans="2:7" ht="21.75" customHeight="1" x14ac:dyDescent="0.2">
      <c r="B18" s="28" t="s">
        <v>6</v>
      </c>
      <c r="C18" s="28" t="s">
        <v>179</v>
      </c>
      <c r="D18" s="28" t="s">
        <v>180</v>
      </c>
      <c r="E18" s="28" t="s">
        <v>184</v>
      </c>
      <c r="F18" s="28" t="s">
        <v>181</v>
      </c>
    </row>
    <row r="19" spans="2:7" ht="21.75" customHeight="1" x14ac:dyDescent="0.2">
      <c r="B19" s="47" t="s">
        <v>15</v>
      </c>
      <c r="C19" s="48">
        <f>COUNTIF('🥊 Fighters Database'!F3:F119,"Right")</f>
        <v>102</v>
      </c>
      <c r="D19" s="34">
        <f>C19/117</f>
        <v>0.87179487179487181</v>
      </c>
      <c r="E19" s="35">
        <f>AVERAGEIF('🥊 Fighters Database'!F3:F119,"Right",'🥊 Fighters Database'!J3:J119)</f>
        <v>78.168677503586338</v>
      </c>
      <c r="F19" s="13">
        <f>SUMIF('🥊 Fighters Database'!F3:F119,"Right",'🥊 Fighters Database'!G3:G119)</f>
        <v>2378</v>
      </c>
    </row>
    <row r="20" spans="2:7" ht="21.75" customHeight="1" x14ac:dyDescent="0.2">
      <c r="B20" s="50" t="s">
        <v>20</v>
      </c>
      <c r="C20" s="51">
        <f>COUNTIF('🥊 Fighters Database'!F3:F119,"Left")</f>
        <v>15</v>
      </c>
      <c r="D20" s="40">
        <f>C20/117</f>
        <v>0.12820512820512819</v>
      </c>
      <c r="E20" s="41">
        <f>AVERAGEIF('🥊 Fighters Database'!F3:F119,"Left",'🥊 Fighters Database'!J3:J119)</f>
        <v>77.127907615441984</v>
      </c>
      <c r="F20" s="21">
        <f>SUMIF('🥊 Fighters Database'!F3:F119,"Left",'🥊 Fighters Database'!G3:G119)</f>
        <v>376</v>
      </c>
    </row>
  </sheetData>
  <mergeCells count="4">
    <mergeCell ref="B1:G1"/>
    <mergeCell ref="B3:G3"/>
    <mergeCell ref="B11:G11"/>
    <mergeCell ref="B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B1:J31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3" width="18" customWidth="1"/>
    <col min="4" max="4" width="12" customWidth="1"/>
    <col min="5" max="6" width="13" customWidth="1"/>
    <col min="7" max="7" width="2" customWidth="1"/>
    <col min="8" max="8" width="18" customWidth="1"/>
    <col min="9" max="9" width="13" customWidth="1"/>
    <col min="10" max="10" width="14" customWidth="1"/>
  </cols>
  <sheetData>
    <row r="1" spans="2:10" ht="36" customHeight="1" x14ac:dyDescent="0.2">
      <c r="B1" s="5" t="s">
        <v>185</v>
      </c>
      <c r="C1" s="5"/>
      <c r="D1" s="5"/>
      <c r="E1" s="5"/>
      <c r="F1" s="5"/>
      <c r="G1" s="5"/>
      <c r="H1" s="5"/>
      <c r="I1" s="5"/>
      <c r="J1" s="5"/>
    </row>
    <row r="3" spans="2:10" ht="21.75" customHeight="1" x14ac:dyDescent="0.2">
      <c r="B3" s="28" t="s">
        <v>3</v>
      </c>
      <c r="C3" s="53" t="s">
        <v>4</v>
      </c>
      <c r="D3" s="7" t="s">
        <v>179</v>
      </c>
      <c r="E3" s="30" t="s">
        <v>181</v>
      </c>
      <c r="F3" s="30" t="s">
        <v>184</v>
      </c>
      <c r="H3" s="3" t="s">
        <v>186</v>
      </c>
      <c r="I3" s="3"/>
      <c r="J3" s="3"/>
    </row>
    <row r="4" spans="2:10" ht="19.5" customHeight="1" x14ac:dyDescent="0.2">
      <c r="B4" s="9" t="s">
        <v>12</v>
      </c>
      <c r="C4" s="11" t="s">
        <v>13</v>
      </c>
      <c r="D4" s="54">
        <v>43</v>
      </c>
      <c r="E4" s="55">
        <v>967</v>
      </c>
      <c r="F4" s="56">
        <f t="shared" ref="F4:F12" si="0">IFERROR(E4/D4,0)</f>
        <v>22.488372093023255</v>
      </c>
      <c r="H4" s="57" t="s">
        <v>13</v>
      </c>
      <c r="I4" s="54">
        <f t="shared" ref="I4:I9" si="1">SUMIF(C$4:C$31,H4,D$4:D$31)</f>
        <v>49</v>
      </c>
      <c r="J4" s="35">
        <f t="shared" ref="J4:J9" si="2">IFERROR(AVERAGEIF(C$4:C$31,H4,F$4:F$31),0)</f>
        <v>21.079457364341085</v>
      </c>
    </row>
    <row r="5" spans="2:10" ht="19.5" customHeight="1" x14ac:dyDescent="0.2">
      <c r="B5" s="17" t="s">
        <v>52</v>
      </c>
      <c r="C5" s="58" t="s">
        <v>53</v>
      </c>
      <c r="D5" s="50">
        <v>16</v>
      </c>
      <c r="E5" s="59">
        <v>425</v>
      </c>
      <c r="F5" s="60">
        <f t="shared" si="0"/>
        <v>26.5625</v>
      </c>
      <c r="H5" s="61" t="s">
        <v>89</v>
      </c>
      <c r="I5" s="50">
        <f t="shared" si="1"/>
        <v>31</v>
      </c>
      <c r="J5" s="41">
        <f t="shared" si="2"/>
        <v>24.455411255411253</v>
      </c>
    </row>
    <row r="6" spans="2:10" ht="19.5" customHeight="1" x14ac:dyDescent="0.2">
      <c r="B6" s="9" t="s">
        <v>88</v>
      </c>
      <c r="C6" s="62" t="s">
        <v>89</v>
      </c>
      <c r="D6" s="54">
        <v>7</v>
      </c>
      <c r="E6" s="55">
        <v>205</v>
      </c>
      <c r="F6" s="56">
        <f t="shared" si="0"/>
        <v>29.285714285714285</v>
      </c>
      <c r="H6" s="13" t="s">
        <v>53</v>
      </c>
      <c r="I6" s="54">
        <f t="shared" si="1"/>
        <v>16</v>
      </c>
      <c r="J6" s="35">
        <f t="shared" si="2"/>
        <v>26.5625</v>
      </c>
    </row>
    <row r="7" spans="2:10" ht="19.5" customHeight="1" x14ac:dyDescent="0.2">
      <c r="B7" s="17" t="s">
        <v>111</v>
      </c>
      <c r="C7" s="63" t="s">
        <v>89</v>
      </c>
      <c r="D7" s="50">
        <v>7</v>
      </c>
      <c r="E7" s="59">
        <v>139</v>
      </c>
      <c r="F7" s="60">
        <f t="shared" si="0"/>
        <v>19.857142857142858</v>
      </c>
      <c r="H7" s="64" t="s">
        <v>152</v>
      </c>
      <c r="I7" s="50">
        <f t="shared" si="1"/>
        <v>1</v>
      </c>
      <c r="J7" s="41">
        <f t="shared" si="2"/>
        <v>23</v>
      </c>
    </row>
    <row r="8" spans="2:10" ht="19.5" customHeight="1" x14ac:dyDescent="0.2">
      <c r="B8" s="9" t="s">
        <v>119</v>
      </c>
      <c r="C8" s="62" t="s">
        <v>89</v>
      </c>
      <c r="D8" s="54">
        <v>5</v>
      </c>
      <c r="E8" s="55">
        <v>181</v>
      </c>
      <c r="F8" s="56">
        <f t="shared" si="0"/>
        <v>36.200000000000003</v>
      </c>
      <c r="H8" s="65" t="s">
        <v>142</v>
      </c>
      <c r="I8" s="54">
        <f t="shared" si="1"/>
        <v>4</v>
      </c>
      <c r="J8" s="35">
        <f t="shared" si="2"/>
        <v>17.333333333333336</v>
      </c>
    </row>
    <row r="9" spans="2:10" ht="19.5" customHeight="1" x14ac:dyDescent="0.2">
      <c r="B9" s="17" t="s">
        <v>83</v>
      </c>
      <c r="C9" s="19" t="s">
        <v>13</v>
      </c>
      <c r="D9" s="50">
        <v>4</v>
      </c>
      <c r="E9" s="59">
        <v>67</v>
      </c>
      <c r="F9" s="60">
        <f t="shared" si="0"/>
        <v>16.75</v>
      </c>
      <c r="H9" s="66" t="s">
        <v>130</v>
      </c>
      <c r="I9" s="50">
        <f t="shared" si="1"/>
        <v>2</v>
      </c>
      <c r="J9" s="41">
        <f t="shared" si="2"/>
        <v>20.5</v>
      </c>
    </row>
    <row r="10" spans="2:10" ht="18" customHeight="1" x14ac:dyDescent="0.2">
      <c r="B10" s="9" t="s">
        <v>99</v>
      </c>
      <c r="C10" s="62" t="s">
        <v>89</v>
      </c>
      <c r="D10" s="54">
        <v>3</v>
      </c>
      <c r="E10" s="55">
        <v>66</v>
      </c>
      <c r="F10" s="56">
        <f t="shared" si="0"/>
        <v>22</v>
      </c>
    </row>
    <row r="11" spans="2:10" ht="18" customHeight="1" x14ac:dyDescent="0.2">
      <c r="B11" s="17" t="s">
        <v>134</v>
      </c>
      <c r="C11" s="63" t="s">
        <v>89</v>
      </c>
      <c r="D11" s="50">
        <v>3</v>
      </c>
      <c r="E11" s="59">
        <v>38</v>
      </c>
      <c r="F11" s="60">
        <f t="shared" si="0"/>
        <v>12.666666666666666</v>
      </c>
    </row>
    <row r="12" spans="2:10" ht="18" customHeight="1" x14ac:dyDescent="0.2">
      <c r="B12" s="9" t="s">
        <v>141</v>
      </c>
      <c r="C12" s="67" t="s">
        <v>142</v>
      </c>
      <c r="D12" s="54">
        <v>3</v>
      </c>
      <c r="E12" s="55">
        <v>65</v>
      </c>
      <c r="F12" s="56">
        <f t="shared" si="0"/>
        <v>21.666666666666668</v>
      </c>
    </row>
    <row r="13" spans="2:10" ht="27.75" customHeight="1" x14ac:dyDescent="0.2">
      <c r="B13" s="2" t="s">
        <v>187</v>
      </c>
      <c r="C13" s="2"/>
      <c r="D13" s="2"/>
      <c r="E13" s="2"/>
      <c r="F13" s="2"/>
    </row>
    <row r="14" spans="2:10" ht="21.75" customHeight="1" x14ac:dyDescent="0.2">
      <c r="B14" s="68" t="s">
        <v>188</v>
      </c>
      <c r="C14" s="69" t="s">
        <v>11</v>
      </c>
      <c r="D14" s="54">
        <v>2</v>
      </c>
      <c r="E14" s="55">
        <v>38</v>
      </c>
      <c r="F14" s="56">
        <f t="shared" ref="F14:F31" si="3">IFERROR(E14/D14,0)</f>
        <v>19</v>
      </c>
    </row>
    <row r="15" spans="2:10" ht="18.75" customHeight="1" x14ac:dyDescent="0.2">
      <c r="B15" s="70" t="s">
        <v>3</v>
      </c>
      <c r="C15" s="71" t="str">
        <f>IFERROR(VLOOKUP(C14,'🥊 Fighters Database'!B3:J119,2,0),"Not found")</f>
        <v>USA</v>
      </c>
      <c r="D15" s="50">
        <v>2</v>
      </c>
      <c r="E15" s="59">
        <v>31</v>
      </c>
      <c r="F15" s="60">
        <f t="shared" si="3"/>
        <v>15.5</v>
      </c>
    </row>
    <row r="16" spans="2:10" ht="18.75" customHeight="1" x14ac:dyDescent="0.2">
      <c r="B16" s="72" t="s">
        <v>4</v>
      </c>
      <c r="C16" s="73" t="str">
        <f>IFERROR(VLOOKUP(C14,'🥊 Fighters Database'!B3:J119,3,0),"Not found")</f>
        <v>North America</v>
      </c>
      <c r="D16" s="54">
        <v>2</v>
      </c>
      <c r="E16" s="55">
        <v>48</v>
      </c>
      <c r="F16" s="56">
        <f t="shared" si="3"/>
        <v>24</v>
      </c>
    </row>
    <row r="17" spans="2:6" ht="18.75" customHeight="1" x14ac:dyDescent="0.2">
      <c r="B17" s="70" t="s">
        <v>5</v>
      </c>
      <c r="C17" s="71" t="str">
        <f>IFERROR(VLOOKUP(C14,'🥊 Fighters Database'!B3:J119,4,0),"Not found")</f>
        <v>Orthodox</v>
      </c>
      <c r="D17" s="50">
        <v>2</v>
      </c>
      <c r="E17" s="59">
        <v>41</v>
      </c>
      <c r="F17" s="60">
        <f t="shared" si="3"/>
        <v>20.5</v>
      </c>
    </row>
    <row r="18" spans="2:6" ht="18.75" customHeight="1" x14ac:dyDescent="0.2">
      <c r="B18" s="72" t="s">
        <v>6</v>
      </c>
      <c r="C18" s="73" t="str">
        <f>IFERROR(VLOOKUP(C14,'🥊 Fighters Database'!B3:J119,5,0),"Not found")</f>
        <v>Right</v>
      </c>
      <c r="D18" s="54">
        <v>2</v>
      </c>
      <c r="E18" s="55">
        <v>38</v>
      </c>
      <c r="F18" s="56">
        <f t="shared" si="3"/>
        <v>19</v>
      </c>
    </row>
    <row r="19" spans="2:6" ht="18.75" customHeight="1" x14ac:dyDescent="0.2">
      <c r="B19" s="70" t="s">
        <v>7</v>
      </c>
      <c r="C19" s="71">
        <f>IFERROR(VLOOKUP(C14,'🥊 Fighters Database'!B3:J119,6,0),"Not found")</f>
        <v>27</v>
      </c>
      <c r="D19" s="50">
        <v>1</v>
      </c>
      <c r="E19" s="59">
        <v>22</v>
      </c>
      <c r="F19" s="60">
        <f t="shared" si="3"/>
        <v>22</v>
      </c>
    </row>
    <row r="20" spans="2:6" ht="18.75" customHeight="1" x14ac:dyDescent="0.2">
      <c r="B20" s="72" t="s">
        <v>8</v>
      </c>
      <c r="C20" s="73">
        <f>IFERROR(VLOOKUP(C14,'🥊 Fighters Database'!B3:J119,7,0),"Not found")</f>
        <v>1</v>
      </c>
      <c r="D20" s="54">
        <v>1</v>
      </c>
      <c r="E20" s="55">
        <v>29</v>
      </c>
      <c r="F20" s="56">
        <f t="shared" si="3"/>
        <v>29</v>
      </c>
    </row>
    <row r="21" spans="2:6" ht="18.75" customHeight="1" x14ac:dyDescent="0.2">
      <c r="B21" s="70" t="s">
        <v>189</v>
      </c>
      <c r="C21" s="74">
        <f>IFERROR(VLOOKUP(C14,'🥊 Fighters Database'!B3:J119,9,0),"Not found")</f>
        <v>96.428571428571431</v>
      </c>
      <c r="D21" s="50">
        <v>1</v>
      </c>
      <c r="E21" s="59">
        <v>34</v>
      </c>
      <c r="F21" s="60">
        <f t="shared" si="3"/>
        <v>34</v>
      </c>
    </row>
    <row r="22" spans="2:6" ht="18" customHeight="1" x14ac:dyDescent="0.2">
      <c r="B22" s="9" t="s">
        <v>105</v>
      </c>
      <c r="C22" s="62" t="s">
        <v>89</v>
      </c>
      <c r="D22" s="54">
        <v>1</v>
      </c>
      <c r="E22" s="55">
        <v>38</v>
      </c>
      <c r="F22" s="56">
        <f t="shared" si="3"/>
        <v>38</v>
      </c>
    </row>
    <row r="23" spans="2:6" ht="18" customHeight="1" x14ac:dyDescent="0.2">
      <c r="B23" s="17" t="s">
        <v>107</v>
      </c>
      <c r="C23" s="63" t="s">
        <v>89</v>
      </c>
      <c r="D23" s="50">
        <v>1</v>
      </c>
      <c r="E23" s="59">
        <v>30</v>
      </c>
      <c r="F23" s="60">
        <f t="shared" si="3"/>
        <v>30</v>
      </c>
    </row>
    <row r="24" spans="2:6" ht="18" customHeight="1" x14ac:dyDescent="0.2">
      <c r="B24" s="9" t="s">
        <v>109</v>
      </c>
      <c r="C24" s="62" t="s">
        <v>89</v>
      </c>
      <c r="D24" s="54">
        <v>1</v>
      </c>
      <c r="E24" s="55">
        <v>22</v>
      </c>
      <c r="F24" s="56">
        <f t="shared" si="3"/>
        <v>22</v>
      </c>
    </row>
    <row r="25" spans="2:6" ht="18" customHeight="1" x14ac:dyDescent="0.2">
      <c r="B25" s="17" t="s">
        <v>125</v>
      </c>
      <c r="C25" s="63" t="s">
        <v>89</v>
      </c>
      <c r="D25" s="50">
        <v>1</v>
      </c>
      <c r="E25" s="59">
        <v>20</v>
      </c>
      <c r="F25" s="60">
        <f t="shared" si="3"/>
        <v>20</v>
      </c>
    </row>
    <row r="26" spans="2:6" ht="18" customHeight="1" x14ac:dyDescent="0.2">
      <c r="B26" s="9" t="s">
        <v>127</v>
      </c>
      <c r="C26" s="62" t="s">
        <v>89</v>
      </c>
      <c r="D26" s="54">
        <v>1</v>
      </c>
      <c r="E26" s="55">
        <v>22</v>
      </c>
      <c r="F26" s="56">
        <f t="shared" si="3"/>
        <v>22</v>
      </c>
    </row>
    <row r="27" spans="2:6" ht="18" customHeight="1" x14ac:dyDescent="0.2">
      <c r="B27" s="17" t="s">
        <v>129</v>
      </c>
      <c r="C27" s="75" t="s">
        <v>130</v>
      </c>
      <c r="D27" s="50">
        <v>1</v>
      </c>
      <c r="E27" s="59">
        <v>24</v>
      </c>
      <c r="F27" s="60">
        <f t="shared" si="3"/>
        <v>24</v>
      </c>
    </row>
    <row r="28" spans="2:6" ht="18" customHeight="1" x14ac:dyDescent="0.2">
      <c r="B28" s="9" t="s">
        <v>132</v>
      </c>
      <c r="C28" s="76" t="s">
        <v>130</v>
      </c>
      <c r="D28" s="54">
        <v>1</v>
      </c>
      <c r="E28" s="55">
        <v>17</v>
      </c>
      <c r="F28" s="56">
        <f t="shared" si="3"/>
        <v>17</v>
      </c>
    </row>
    <row r="29" spans="2:6" ht="18" customHeight="1" x14ac:dyDescent="0.2">
      <c r="B29" s="17" t="s">
        <v>145</v>
      </c>
      <c r="C29" s="77" t="s">
        <v>142</v>
      </c>
      <c r="D29" s="50">
        <v>1</v>
      </c>
      <c r="E29" s="59">
        <v>13</v>
      </c>
      <c r="F29" s="60">
        <f t="shared" si="3"/>
        <v>13</v>
      </c>
    </row>
    <row r="30" spans="2:6" ht="18" customHeight="1" x14ac:dyDescent="0.2">
      <c r="B30" s="9" t="s">
        <v>162</v>
      </c>
      <c r="C30" s="26" t="s">
        <v>152</v>
      </c>
      <c r="D30" s="54">
        <v>1</v>
      </c>
      <c r="E30" s="55">
        <v>23</v>
      </c>
      <c r="F30" s="56">
        <f t="shared" si="3"/>
        <v>23</v>
      </c>
    </row>
    <row r="31" spans="2:6" ht="18" customHeight="1" x14ac:dyDescent="0.2">
      <c r="B31" s="17" t="s">
        <v>165</v>
      </c>
      <c r="C31" s="63" t="s">
        <v>89</v>
      </c>
      <c r="D31" s="50">
        <v>1</v>
      </c>
      <c r="E31" s="59">
        <v>17</v>
      </c>
      <c r="F31" s="60">
        <f t="shared" si="3"/>
        <v>17</v>
      </c>
    </row>
  </sheetData>
  <mergeCells count="3">
    <mergeCell ref="B1:J1"/>
    <mergeCell ref="H3:J3"/>
    <mergeCell ref="B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39C12"/>
  </sheetPr>
  <dimension ref="B1:L15"/>
  <sheetViews>
    <sheetView showGridLines="0" tabSelected="1" zoomScaleNormal="100" workbookViewId="0"/>
  </sheetViews>
  <sheetFormatPr baseColWidth="10" defaultColWidth="8.6640625" defaultRowHeight="15" x14ac:dyDescent="0.2"/>
  <cols>
    <col min="1" max="1" width="2" customWidth="1"/>
    <col min="2" max="2" width="5" customWidth="1"/>
    <col min="3" max="3" width="24" customWidth="1"/>
    <col min="4" max="4" width="14" customWidth="1"/>
    <col min="5" max="5" width="16" customWidth="1"/>
    <col min="6" max="6" width="8" customWidth="1"/>
    <col min="7" max="7" width="9" customWidth="1"/>
    <col min="8" max="8" width="12" customWidth="1"/>
    <col min="9" max="9" width="14" customWidth="1"/>
    <col min="10" max="10" width="2" customWidth="1"/>
    <col min="11" max="11" width="22" customWidth="1"/>
    <col min="12" max="12" width="18" customWidth="1"/>
  </cols>
  <sheetData>
    <row r="1" spans="2:12" ht="36" customHeight="1" x14ac:dyDescent="0.2">
      <c r="B1" s="5" t="s">
        <v>190</v>
      </c>
      <c r="C1" s="5"/>
      <c r="D1" s="5"/>
      <c r="E1" s="5"/>
      <c r="F1" s="5"/>
      <c r="G1" s="5"/>
      <c r="H1" s="5"/>
      <c r="I1" s="5"/>
      <c r="J1" s="5"/>
      <c r="K1" s="5"/>
    </row>
    <row r="2" spans="2:12" ht="21.75" customHeight="1" x14ac:dyDescent="0.2">
      <c r="B2" s="78" t="s">
        <v>1</v>
      </c>
      <c r="C2" s="79" t="s">
        <v>191</v>
      </c>
      <c r="D2" s="78" t="s">
        <v>3</v>
      </c>
      <c r="E2" s="78" t="s">
        <v>4</v>
      </c>
      <c r="F2" s="80" t="s">
        <v>7</v>
      </c>
      <c r="G2" s="81" t="s">
        <v>8</v>
      </c>
      <c r="H2" s="82" t="s">
        <v>192</v>
      </c>
      <c r="I2" s="82" t="s">
        <v>10</v>
      </c>
      <c r="K2" s="1" t="s">
        <v>193</v>
      </c>
      <c r="L2" s="1"/>
    </row>
    <row r="3" spans="2:12" ht="19.5" customHeight="1" x14ac:dyDescent="0.2">
      <c r="B3" s="10">
        <v>1</v>
      </c>
      <c r="C3" s="83" t="s">
        <v>27</v>
      </c>
      <c r="D3" s="8" t="s">
        <v>12</v>
      </c>
      <c r="E3" s="10" t="s">
        <v>13</v>
      </c>
      <c r="F3" s="84">
        <v>17</v>
      </c>
      <c r="G3" s="85">
        <v>1</v>
      </c>
      <c r="H3" s="8">
        <f t="shared" ref="H3:H15" si="0">F3+G3</f>
        <v>18</v>
      </c>
      <c r="I3" s="86">
        <f t="shared" ref="I3:I15" si="1">IF(H3&gt;0,F3/H3*100,0)</f>
        <v>94.444444444444443</v>
      </c>
      <c r="K3" s="70" t="s">
        <v>179</v>
      </c>
      <c r="L3" s="33">
        <f>COUNTA(C3:C15)</f>
        <v>13</v>
      </c>
    </row>
    <row r="4" spans="2:12" ht="19.5" customHeight="1" x14ac:dyDescent="0.2">
      <c r="B4" s="18">
        <v>2</v>
      </c>
      <c r="C4" s="87" t="s">
        <v>128</v>
      </c>
      <c r="D4" s="16" t="s">
        <v>129</v>
      </c>
      <c r="E4" s="18" t="s">
        <v>130</v>
      </c>
      <c r="F4" s="88">
        <v>24</v>
      </c>
      <c r="G4" s="89">
        <v>3</v>
      </c>
      <c r="H4" s="16">
        <f t="shared" si="0"/>
        <v>27</v>
      </c>
      <c r="I4" s="90">
        <f t="shared" si="1"/>
        <v>88.888888888888886</v>
      </c>
      <c r="K4" s="72" t="s">
        <v>170</v>
      </c>
      <c r="L4" s="91">
        <f>COUNTA(C3:C15)/117</f>
        <v>0.1111111111111111</v>
      </c>
    </row>
    <row r="5" spans="2:12" ht="19.5" customHeight="1" x14ac:dyDescent="0.2">
      <c r="B5" s="10">
        <v>3</v>
      </c>
      <c r="C5" s="83" t="s">
        <v>56</v>
      </c>
      <c r="D5" s="8" t="s">
        <v>12</v>
      </c>
      <c r="E5" s="10" t="s">
        <v>13</v>
      </c>
      <c r="F5" s="84">
        <v>21</v>
      </c>
      <c r="G5" s="85">
        <v>5</v>
      </c>
      <c r="H5" s="8">
        <f t="shared" si="0"/>
        <v>26</v>
      </c>
      <c r="I5" s="86">
        <f t="shared" si="1"/>
        <v>80.769230769230774</v>
      </c>
      <c r="K5" s="70" t="s">
        <v>194</v>
      </c>
      <c r="L5" s="92">
        <f>AVERAGE(I3:I15)</f>
        <v>77.921649519959672</v>
      </c>
    </row>
    <row r="6" spans="2:12" ht="19.5" customHeight="1" x14ac:dyDescent="0.2">
      <c r="B6" s="18">
        <v>4</v>
      </c>
      <c r="C6" s="87" t="s">
        <v>44</v>
      </c>
      <c r="D6" s="16" t="s">
        <v>12</v>
      </c>
      <c r="E6" s="18" t="s">
        <v>13</v>
      </c>
      <c r="F6" s="88">
        <v>16</v>
      </c>
      <c r="G6" s="89">
        <v>4</v>
      </c>
      <c r="H6" s="16">
        <f t="shared" si="0"/>
        <v>20</v>
      </c>
      <c r="I6" s="90">
        <f t="shared" si="1"/>
        <v>80</v>
      </c>
      <c r="K6" s="72" t="s">
        <v>195</v>
      </c>
      <c r="L6" s="93">
        <f>MAX(I3:I15)</f>
        <v>94.444444444444443</v>
      </c>
    </row>
    <row r="7" spans="2:12" ht="19.5" customHeight="1" x14ac:dyDescent="0.2">
      <c r="B7" s="10">
        <v>5</v>
      </c>
      <c r="C7" s="83" t="s">
        <v>84</v>
      </c>
      <c r="D7" s="8" t="s">
        <v>83</v>
      </c>
      <c r="E7" s="10" t="s">
        <v>13</v>
      </c>
      <c r="F7" s="84">
        <v>15</v>
      </c>
      <c r="G7" s="85">
        <v>4</v>
      </c>
      <c r="H7" s="8">
        <f t="shared" si="0"/>
        <v>19</v>
      </c>
      <c r="I7" s="86">
        <f t="shared" si="1"/>
        <v>78.94736842105263</v>
      </c>
      <c r="K7" s="70" t="s">
        <v>196</v>
      </c>
      <c r="L7" s="92">
        <f>MIN(I3:I15)</f>
        <v>62.857142857142854</v>
      </c>
    </row>
    <row r="8" spans="2:12" ht="19.5" customHeight="1" x14ac:dyDescent="0.2">
      <c r="B8" s="18">
        <v>6</v>
      </c>
      <c r="C8" s="87" t="s">
        <v>108</v>
      </c>
      <c r="D8" s="16" t="s">
        <v>109</v>
      </c>
      <c r="E8" s="18" t="s">
        <v>89</v>
      </c>
      <c r="F8" s="88">
        <v>22</v>
      </c>
      <c r="G8" s="89">
        <v>6</v>
      </c>
      <c r="H8" s="16">
        <f t="shared" si="0"/>
        <v>28</v>
      </c>
      <c r="I8" s="90">
        <f t="shared" si="1"/>
        <v>78.571428571428569</v>
      </c>
      <c r="K8" s="72" t="s">
        <v>197</v>
      </c>
      <c r="L8" s="93">
        <f>AVERAGE(I3:I15)-AVERAGEIFS('🥊 Fighters Database'!J3:J119,'🥊 Fighters Database'!E3:E119,"Orthodox",'🥊 Fighters Database'!F3:F119,"Right")</f>
        <v>-0.283110722808118</v>
      </c>
    </row>
    <row r="9" spans="2:12" ht="19.5" customHeight="1" x14ac:dyDescent="0.2">
      <c r="B9" s="10">
        <v>7</v>
      </c>
      <c r="C9" s="83" t="s">
        <v>26</v>
      </c>
      <c r="D9" s="8" t="s">
        <v>12</v>
      </c>
      <c r="E9" s="10" t="s">
        <v>13</v>
      </c>
      <c r="F9" s="84">
        <v>29</v>
      </c>
      <c r="G9" s="85">
        <v>8</v>
      </c>
      <c r="H9" s="8">
        <f t="shared" si="0"/>
        <v>37</v>
      </c>
      <c r="I9" s="86">
        <f t="shared" si="1"/>
        <v>78.378378378378372</v>
      </c>
      <c r="K9" s="70" t="s">
        <v>198</v>
      </c>
      <c r="L9" s="92">
        <f>AVERAGE(I3:I15)-AVERAGEIFS('🥊 Fighters Database'!J3:J119,'🥊 Fighters Database'!E3:E119,"Southpaw",'🥊 Fighters Database'!F3:F119,"Left")</f>
        <v>0.79374190451768811</v>
      </c>
    </row>
    <row r="10" spans="2:12" ht="19.5" customHeight="1" x14ac:dyDescent="0.2">
      <c r="B10" s="18">
        <v>8</v>
      </c>
      <c r="C10" s="87" t="s">
        <v>115</v>
      </c>
      <c r="D10" s="16" t="s">
        <v>111</v>
      </c>
      <c r="E10" s="18" t="s">
        <v>89</v>
      </c>
      <c r="F10" s="88">
        <v>18</v>
      </c>
      <c r="G10" s="89">
        <v>5</v>
      </c>
      <c r="H10" s="16">
        <f t="shared" si="0"/>
        <v>23</v>
      </c>
      <c r="I10" s="90">
        <f t="shared" si="1"/>
        <v>78.260869565217391</v>
      </c>
    </row>
    <row r="11" spans="2:12" ht="19.5" customHeight="1" x14ac:dyDescent="0.2">
      <c r="B11" s="10">
        <v>9</v>
      </c>
      <c r="C11" s="83" t="s">
        <v>136</v>
      </c>
      <c r="D11" s="8" t="s">
        <v>134</v>
      </c>
      <c r="E11" s="10" t="s">
        <v>89</v>
      </c>
      <c r="F11" s="84">
        <v>14</v>
      </c>
      <c r="G11" s="85">
        <v>4</v>
      </c>
      <c r="H11" s="8">
        <f t="shared" si="0"/>
        <v>18</v>
      </c>
      <c r="I11" s="86">
        <f t="shared" si="1"/>
        <v>77.777777777777786</v>
      </c>
    </row>
    <row r="12" spans="2:12" ht="19.5" customHeight="1" x14ac:dyDescent="0.2">
      <c r="B12" s="18">
        <v>10</v>
      </c>
      <c r="C12" s="87" t="s">
        <v>34</v>
      </c>
      <c r="D12" s="16" t="s">
        <v>12</v>
      </c>
      <c r="E12" s="18" t="s">
        <v>13</v>
      </c>
      <c r="F12" s="88">
        <v>17</v>
      </c>
      <c r="G12" s="89">
        <v>5</v>
      </c>
      <c r="H12" s="16">
        <f t="shared" si="0"/>
        <v>22</v>
      </c>
      <c r="I12" s="90">
        <f t="shared" si="1"/>
        <v>77.272727272727266</v>
      </c>
    </row>
    <row r="13" spans="2:12" ht="19.5" customHeight="1" x14ac:dyDescent="0.2">
      <c r="B13" s="10">
        <v>11</v>
      </c>
      <c r="C13" s="83" t="s">
        <v>124</v>
      </c>
      <c r="D13" s="8" t="s">
        <v>125</v>
      </c>
      <c r="E13" s="10" t="s">
        <v>89</v>
      </c>
      <c r="F13" s="84">
        <v>20</v>
      </c>
      <c r="G13" s="85">
        <v>8</v>
      </c>
      <c r="H13" s="8">
        <f t="shared" si="0"/>
        <v>28</v>
      </c>
      <c r="I13" s="86">
        <f t="shared" si="1"/>
        <v>71.428571428571431</v>
      </c>
    </row>
    <row r="14" spans="2:12" ht="19.5" customHeight="1" x14ac:dyDescent="0.2">
      <c r="B14" s="18">
        <v>12</v>
      </c>
      <c r="C14" s="87" t="s">
        <v>57</v>
      </c>
      <c r="D14" s="16" t="s">
        <v>58</v>
      </c>
      <c r="E14" s="18" t="s">
        <v>13</v>
      </c>
      <c r="F14" s="88">
        <v>17</v>
      </c>
      <c r="G14" s="89">
        <v>9</v>
      </c>
      <c r="H14" s="16">
        <f t="shared" si="0"/>
        <v>26</v>
      </c>
      <c r="I14" s="90">
        <f t="shared" si="1"/>
        <v>65.384615384615387</v>
      </c>
    </row>
    <row r="15" spans="2:12" ht="19.5" customHeight="1" x14ac:dyDescent="0.2">
      <c r="B15" s="10">
        <v>13</v>
      </c>
      <c r="C15" s="83" t="s">
        <v>126</v>
      </c>
      <c r="D15" s="8" t="s">
        <v>127</v>
      </c>
      <c r="E15" s="10" t="s">
        <v>89</v>
      </c>
      <c r="F15" s="84">
        <v>22</v>
      </c>
      <c r="G15" s="85">
        <v>13</v>
      </c>
      <c r="H15" s="8">
        <f t="shared" si="0"/>
        <v>35</v>
      </c>
      <c r="I15" s="86">
        <f t="shared" si="1"/>
        <v>62.857142857142854</v>
      </c>
    </row>
  </sheetData>
  <mergeCells count="2">
    <mergeCell ref="B1:K1"/>
    <mergeCell ref="K2:L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🥊 Fighters Database</vt:lpstr>
      <vt:lpstr>📊 Pivot — Stance Analysis</vt:lpstr>
      <vt:lpstr>🌍 Country Analysis</vt:lpstr>
      <vt:lpstr>⭐ Southpaw Right-Handed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Ngoc Phu  Ma</cp:lastModifiedBy>
  <cp:revision>0</cp:revision>
  <dcterms:created xsi:type="dcterms:W3CDTF">2026-05-07T09:32:08Z</dcterms:created>
  <dcterms:modified xsi:type="dcterms:W3CDTF">2026-05-07T10:11:56Z</dcterms:modified>
  <dc:language>en-US</dc:language>
</cp:coreProperties>
</file>